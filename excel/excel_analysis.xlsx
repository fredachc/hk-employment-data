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yh012.APAC\Desktop\"/>
    </mc:Choice>
  </mc:AlternateContent>
  <xr:revisionPtr revIDLastSave="0" documentId="13_ncr:1_{A462CEDE-A072-4CBA-9EA5-43DAEC01882D}" xr6:coauthVersionLast="47" xr6:coauthVersionMax="47" xr10:uidLastSave="{00000000-0000-0000-0000-000000000000}"/>
  <bookViews>
    <workbookView xWindow="-120" yWindow="-120" windowWidth="29040" windowHeight="15720" activeTab="6" xr2:uid="{2265D2C8-0CAE-493A-BB7A-923AC2008182}"/>
  </bookViews>
  <sheets>
    <sheet name="jobs_clenaed" sheetId="1" r:id="rId1"/>
    <sheet name="1" sheetId="2" r:id="rId2"/>
    <sheet name="2" sheetId="5" r:id="rId3"/>
    <sheet name="3_v1" sheetId="6" r:id="rId4"/>
    <sheet name="3_v2" sheetId="7" r:id="rId5"/>
    <sheet name="4" sheetId="15" r:id="rId6"/>
    <sheet name="5" sheetId="17" r:id="rId7"/>
  </sheets>
  <definedNames>
    <definedName name="_xlnm._FilterDatabase" localSheetId="0" hidden="1">jobs_clenaed!$A$1:$J$62</definedName>
    <definedName name="_xlchart.v1.0" hidden="1">jobs_clenaed!$G$1</definedName>
    <definedName name="_xlchart.v1.1" hidden="1">jobs_clenaed!$G$2:$G$62</definedName>
  </definedName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</calcChain>
</file>

<file path=xl/sharedStrings.xml><?xml version="1.0" encoding="utf-8"?>
<sst xmlns="http://schemas.openxmlformats.org/spreadsheetml/2006/main" count="297" uniqueCount="160">
  <si>
    <t>jobname</t>
  </si>
  <si>
    <t>deptnamejve</t>
  </si>
  <si>
    <t>entrypay</t>
  </si>
  <si>
    <t>enddate</t>
  </si>
  <si>
    <t>expfrom</t>
  </si>
  <si>
    <t>expto</t>
  </si>
  <si>
    <t>salary</t>
  </si>
  <si>
    <t>is_monthly</t>
  </si>
  <si>
    <t>Senior Clinician (Orthodontics)</t>
  </si>
  <si>
    <t>Department of Health</t>
  </si>
  <si>
    <t>Full-time: HK$137,085 per month (plus end-of-contract gratuity) _x000D_
Part-time: HK$780 per hour</t>
  </si>
  <si>
    <t>Contract Dentist (Orthodontics)</t>
  </si>
  <si>
    <t xml:space="preserve">Full-time: HK$93,255 per month (plus end-of-contract gratuity)_x000D_
Part-time: HK$549 per hour_x000D_
_x000D_
</t>
  </si>
  <si>
    <t>Contract Senior Doctor (Antimicrobial Resistance)</t>
  </si>
  <si>
    <t>Monthly salary at HK$137,085 plus end-of-contract gratuity.</t>
  </si>
  <si>
    <t>Temporary Teacher (Government Secondary School)</t>
  </si>
  <si>
    <t>Education Bureau</t>
  </si>
  <si>
    <t>$35,080 per month</t>
  </si>
  <si>
    <t>Temporary Laboratory Technician II</t>
  </si>
  <si>
    <t>$23,585 per month</t>
  </si>
  <si>
    <t>Temporary Teacher (Government Primary School)</t>
  </si>
  <si>
    <t>$38,715 per month</t>
  </si>
  <si>
    <t xml:space="preserve">Contract Senior Doctor (Private Healthcare Facilities) </t>
  </si>
  <si>
    <t>Various posts in Government Secondary and Primary Schools</t>
  </si>
  <si>
    <t>Monthly salary start at HK$14,710 depending on post applied for</t>
  </si>
  <si>
    <t>Dental Officer</t>
  </si>
  <si>
    <t>Master Pay Scale Point 30 (HK$71,010 per month) to Master Pay Scale Point 44 (HK$119,650 per month) [See Note (1)]</t>
  </si>
  <si>
    <t>Dental Hygienist</t>
  </si>
  <si>
    <t>Master Pay Scale Point 5 (HK$19,535 per month) to Master Pay Scale Point 19 (HK$42,640 per month) [See Note (1)]</t>
  </si>
  <si>
    <t>Police Constable</t>
  </si>
  <si>
    <t>Hong Kong Police Force</t>
  </si>
  <si>
    <t>Police Pay Scale Point 4 ($28,940) to Police Pay Scale Point 17 ($42,390) (Note 1) per month</t>
  </si>
  <si>
    <t>Police Inspector</t>
  </si>
  <si>
    <t>Police Pay Scale Point 24 ($52,015) (as commensurate with respective entry qualifications) to Police Pay Scale Point 43 ($99,500) (Note 1) per month</t>
  </si>
  <si>
    <t>Contract Doctor</t>
  </si>
  <si>
    <t xml:space="preserve">Monthly salary at HK$71,010 - HK$101,775 depending on relevant qualification and experience, plus end-of-contract gratuity.  </t>
  </si>
  <si>
    <t>Contract Senior Doctor (Infection Control)</t>
  </si>
  <si>
    <t>Contract Senior Doctor (Communicable Disease Branch)</t>
  </si>
  <si>
    <t>Registered Nurse</t>
  </si>
  <si>
    <t>Master Pay Scale Point 15 ($35,080 per month) to Master Pay Scale Point 25 ($56,450 per month)</t>
  </si>
  <si>
    <t>Medical and Health Officer</t>
  </si>
  <si>
    <t>Master Pay Scale Point 32 ($77,855) to Master Pay Scale Point 44B ($132,275) per month (See Notes (1)&amp;(2)).</t>
  </si>
  <si>
    <t>Contract Clinician (Social Hygiene Service)</t>
  </si>
  <si>
    <t>Monthly salary at HK$101,775, plus 15% end-of-contract gratuity</t>
  </si>
  <si>
    <t>Contract Clinician (Child Assessment Service)</t>
  </si>
  <si>
    <t xml:space="preserve">Monthly salary at HK$101,775, plus 15% end-of-contract gratuity.  </t>
  </si>
  <si>
    <t>Contract Clinician (Tuberculosis and Chest Service)</t>
  </si>
  <si>
    <t>Artisan</t>
  </si>
  <si>
    <t>Agriculture, Fisheries and Conservation Department</t>
  </si>
  <si>
    <t>Master Pay Scale Point 5 ($19,535) to Master Pay Scale Point 8 ($23,585) per month</t>
  </si>
  <si>
    <t>Station Officer (Operational)</t>
  </si>
  <si>
    <t>Fire Services Department</t>
  </si>
  <si>
    <t>Disciplined Services (Officer) Pay Scale Point 8 ($48,335) per month to Disciplined Services (Officer) Pay Scale Point 27 [Note (a)]($99,500) per month.</t>
  </si>
  <si>
    <t>Customs Officer</t>
  </si>
  <si>
    <t>Customs and Excise Department</t>
  </si>
  <si>
    <t>Disciplined Services (Rank and File) Pay Scale Point 5 (HKD$25,470 per month) to Disciplined Services (Rank and File) Pay Scale Point 16 (HKD$36,270 per month)</t>
  </si>
  <si>
    <t>Assistant Clerical Officer</t>
  </si>
  <si>
    <t>Various Government Bureaux and Departments</t>
  </si>
  <si>
    <t>Master Pay Scale Point 3 (HK$17,200 per month) to Master Pay Scale Point 15 (HK$35,080 per month)</t>
  </si>
  <si>
    <t>Clerical Assistant</t>
  </si>
  <si>
    <t>Master Pay Scale Point 1 (HK$15,180 per month) to Master Pay Scale Point 10 (HK$26,590 per month).</t>
  </si>
  <si>
    <t>Personal Secretary II</t>
  </si>
  <si>
    <t>Master Pay Scale Point 4 (HK$18,305 per month) to Master Pay Scale Point 15 (HK$35,080 per month).</t>
  </si>
  <si>
    <t xml:space="preserve">Project Coordinator </t>
  </si>
  <si>
    <t>Home Affairs Department</t>
  </si>
  <si>
    <t>$18,200 per month</t>
  </si>
  <si>
    <t>Summer Intern (Hong Kong Public Libraries) â€“ Post-Secondary Student Summer Internship Programme 2026</t>
  </si>
  <si>
    <t>Leisure and Cultural Services Department</t>
  </si>
  <si>
    <t>$11,500 per month</t>
  </si>
  <si>
    <t>Estate Surveyor</t>
  </si>
  <si>
    <t>Lands Department</t>
  </si>
  <si>
    <t>Master Pay Scale Point 30 (HK$71,010 per month) to Master Pay Scale Point 44 (HK$119,650 per month)</t>
  </si>
  <si>
    <t>Summer Intern</t>
  </si>
  <si>
    <t>Post-Secondary Student Summer Internship Programme 2026 - Leisure Services Branch</t>
  </si>
  <si>
    <t>Assistant Research Officer</t>
  </si>
  <si>
    <t>Electrical and Mechanical Services Department</t>
  </si>
  <si>
    <t>HK$35,800 - HK$44,415 per month</t>
  </si>
  <si>
    <t>Analytical Testing Technician</t>
  </si>
  <si>
    <t>Environmental Protection Department</t>
  </si>
  <si>
    <t>HK$19,120 per month</t>
  </si>
  <si>
    <t>Immigration Assistant</t>
  </si>
  <si>
    <t>Immigration Department</t>
  </si>
  <si>
    <t>Disciplined Services (Rank and File) Pay Scale Point 4a (HK$25,115) to Disciplined Services (Rank and File) Pay Scale Point 15 (HK$35,255) per month</t>
  </si>
  <si>
    <t>Assistant Accounting Manager</t>
  </si>
  <si>
    <t>Food and Environmental Hygiene Department</t>
  </si>
  <si>
    <t>HK$33,405 per month</t>
  </si>
  <si>
    <t>Curriculum Officer (Gifted Education) (EDB/EI/105/26)</t>
  </si>
  <si>
    <t>$82,330 per month</t>
  </si>
  <si>
    <t>Contract Solicitor</t>
  </si>
  <si>
    <t>Companies Registry</t>
  </si>
  <si>
    <t>HK$74,345 to HK$97,575 per month (depending on post-qualification experience)</t>
  </si>
  <si>
    <t>Project Assistant (Kindergarten Administration 2) (EDB/KGE/109/26)</t>
  </si>
  <si>
    <t>Literacy Programme Consultant (Centralised Professional Development) (EDB/CDI/110/26)</t>
  </si>
  <si>
    <t>Works Supervisor II (Construction)</t>
  </si>
  <si>
    <t>Housing Department</t>
  </si>
  <si>
    <t>Master Pay Scale Point 9 ($25,115 per month) to Master Pay Scale Point 12 ($29,995 per month)</t>
  </si>
  <si>
    <t>Works Supervisor II</t>
  </si>
  <si>
    <t>Correctional Services Department</t>
  </si>
  <si>
    <t>Master Pay Scale Point 9 ($25,115) to Master Pay Scale Point 12 ($29,995) per month.</t>
  </si>
  <si>
    <t>Multimedia Designer</t>
  </si>
  <si>
    <t>Census and Statistics Department</t>
  </si>
  <si>
    <t>HK$36,850 per month</t>
  </si>
  <si>
    <t>Foreman</t>
  </si>
  <si>
    <t>Master Pay Scale Point 7 ($22,145 per month) to Master Pay Scale Point 11 ($28,225 per month)</t>
  </si>
  <si>
    <t>Senior Vice President, Global Connect</t>
  </si>
  <si>
    <t>Invest Hong Kong</t>
  </si>
  <si>
    <t>HK$67,850 per month</t>
  </si>
  <si>
    <t>Summer Intern (Analytical and Advisory Services Division)</t>
  </si>
  <si>
    <t>Government Laboratory</t>
  </si>
  <si>
    <t>Summer Intern (Forensic Science Division)</t>
  </si>
  <si>
    <t>Training Officer I</t>
  </si>
  <si>
    <t>Civil Service Bureau</t>
  </si>
  <si>
    <t>Master Pay Scale Point 28 ($64,780 per month) to Master Pay Scale Point 33 ($81,510 per month).</t>
  </si>
  <si>
    <t>Statistical Officer II</t>
  </si>
  <si>
    <t>Master Pay Scale Point 8 (HK$23,585 per month) to Master Pay Scale Point 21 (HK$47,010 per month)</t>
  </si>
  <si>
    <t>Senior Artisan (Heavy Crane Driver)</t>
  </si>
  <si>
    <t>Marine Department</t>
  </si>
  <si>
    <t>Master Pay Scale Point 8 ($23,585 per month) to Master Pay Scale Point 10 ($26,590 per month)</t>
  </si>
  <si>
    <t>Post-Secondary Student Summer Internship Programme (Applicants may also be considered under the Vacation Training Scheme funded by the Development Bureau.  Separate application is not required.)</t>
  </si>
  <si>
    <t>Assistant Manager (Digital Transformation)</t>
  </si>
  <si>
    <t>Digital Policy Office</t>
  </si>
  <si>
    <t>$35,200 per month</t>
  </si>
  <si>
    <t>Content Editor/Presenter (TV News and Current Affairs Programme)</t>
  </si>
  <si>
    <t>Radio Television Hong Kong</t>
  </si>
  <si>
    <t>HK$42,640 per month</t>
  </si>
  <si>
    <t>TV Cast Director/ Presenter</t>
  </si>
  <si>
    <t>HK$42,640 â€“ HK$49,230 per month, depending on experience</t>
  </si>
  <si>
    <t>Technical Instructor (Precast Concrete)</t>
  </si>
  <si>
    <t>Disciplined Services (Officer) Pay Scale Point 5 ($40,495) to Disciplined Services (Officer) Pay Scale Point 15 ($68,720) per month.</t>
  </si>
  <si>
    <t>Assistant Curator II (Conservation)</t>
  </si>
  <si>
    <t>$27,090 per month</t>
  </si>
  <si>
    <t>Land Registration Officer II</t>
  </si>
  <si>
    <t>Land Registry</t>
  </si>
  <si>
    <t>Master Pay Scale Point 10 (HK$26,590 per month) to Master Pay Scale Point 27 (HK$61,865 per month)</t>
  </si>
  <si>
    <t>Dental Surgery Assistant</t>
  </si>
  <si>
    <t>Master Pay Scale Point 5 (HK$19,535 per month) to Master Pay Scale Point 17 (HK$38,715 per month).</t>
  </si>
  <si>
    <t>Project Coordinator</t>
  </si>
  <si>
    <t>Vacation Trainee (Building Surveying)</t>
  </si>
  <si>
    <t>Buildings Department</t>
  </si>
  <si>
    <t>HK$11,500 per month</t>
  </si>
  <si>
    <t>Vacation Trainee (Structural Engineering)</t>
  </si>
  <si>
    <t>Row Labels</t>
  </si>
  <si>
    <t>Grand Total</t>
  </si>
  <si>
    <t>Average of salary</t>
  </si>
  <si>
    <t>experience_level</t>
  </si>
  <si>
    <t>Entry</t>
  </si>
  <si>
    <t>Mid</t>
  </si>
  <si>
    <t>Senior</t>
  </si>
  <si>
    <t>salary_level</t>
  </si>
  <si>
    <t>Column Labels</t>
  </si>
  <si>
    <t>High</t>
  </si>
  <si>
    <t>Low</t>
  </si>
  <si>
    <t>Count of jobname</t>
  </si>
  <si>
    <t xml:space="preserve">Curriculum Officer [School-based Curriculum Development (Secondary)] (EDB/ITE/107/26)
</t>
  </si>
  <si>
    <t>job_type</t>
  </si>
  <si>
    <t>Non-Civil Service / Contract</t>
  </si>
  <si>
    <t>Civil Service</t>
  </si>
  <si>
    <t>Job Type</t>
  </si>
  <si>
    <t>Average Salary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</si>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</sst>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3" tint="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/>
    </xf>
    <xf numFmtId="42" fontId="0" fillId="33" borderId="0" xfId="0" applyNumberFormat="1" applyFill="1"/>
    <xf numFmtId="10" fontId="0" fillId="33" borderId="0" xfId="0" applyNumberFormat="1" applyFill="1"/>
    <xf numFmtId="0" fontId="0" fillId="0" borderId="0" xfId="0" applyAlignment="1"/>
    <xf numFmtId="22" fontId="0" fillId="0" borderId="0" xfId="0" applyNumberFormat="1" applyAlignment="1"/>
    <xf numFmtId="44" fontId="0" fillId="33" borderId="0" xfId="0" applyNumberFormat="1" applyFill="1"/>
    <xf numFmtId="0" fontId="0" fillId="33" borderId="10" xfId="0" applyFill="1" applyBorder="1"/>
    <xf numFmtId="44" fontId="0" fillId="33" borderId="10" xfId="0" applyNumberFormat="1" applyFill="1" applyBorder="1"/>
    <xf numFmtId="9" fontId="0" fillId="33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14" formatCode="0.00%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[jobs_clenaed.xlsx]1!PivotTable1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HK</a:t>
            </a:r>
            <a:r>
              <a:rPr lang="en-US" baseline="0"/>
              <a:t> GOV Departments by Average Monthly Salary (Based on Job Listings Data)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'1'!$A$4:$A$14</c:f>
              <c:strCache>
                <c:ptCount val="10"/>
                <c:pt idx="0">
                  <c:v>Lands Department</c:v>
                </c:pt>
                <c:pt idx="1">
                  <c:v>Department of Health</c:v>
                </c:pt>
                <c:pt idx="2">
                  <c:v>Fire Services Department</c:v>
                </c:pt>
                <c:pt idx="3">
                  <c:v>Companies Registry</c:v>
                </c:pt>
                <c:pt idx="4">
                  <c:v>Civil Service Bureau</c:v>
                </c:pt>
                <c:pt idx="5">
                  <c:v>Hong Kong Police Force</c:v>
                </c:pt>
                <c:pt idx="6">
                  <c:v>Invest Hong Kong</c:v>
                </c:pt>
                <c:pt idx="7">
                  <c:v>Land Registry</c:v>
                </c:pt>
                <c:pt idx="8">
                  <c:v>Correctional Services Department</c:v>
                </c:pt>
                <c:pt idx="9">
                  <c:v>Education Bureau</c:v>
                </c:pt>
              </c:strCache>
            </c:strRef>
          </c:cat>
          <c:val>
            <c:numRef>
              <c:f>'1'!$B$4:$B$14</c:f>
              <c:numCache>
                <c:formatCode>_("$"* #,##0_);_("$"* \(#,##0\);_("$"* "-"_);_(@_)</c:formatCode>
                <c:ptCount val="10"/>
                <c:pt idx="0">
                  <c:v>119650</c:v>
                </c:pt>
                <c:pt idx="1">
                  <c:v>105034</c:v>
                </c:pt>
                <c:pt idx="2">
                  <c:v>99500</c:v>
                </c:pt>
                <c:pt idx="3">
                  <c:v>97575</c:v>
                </c:pt>
                <c:pt idx="4">
                  <c:v>81510</c:v>
                </c:pt>
                <c:pt idx="5">
                  <c:v>70945</c:v>
                </c:pt>
                <c:pt idx="6">
                  <c:v>67850</c:v>
                </c:pt>
                <c:pt idx="7">
                  <c:v>61865</c:v>
                </c:pt>
                <c:pt idx="8">
                  <c:v>49357.5</c:v>
                </c:pt>
                <c:pt idx="9">
                  <c:v>49270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2-46EA-94F3-4D8DDC0A5B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5135008"/>
        <c:axId val="1585133088"/>
      </c:barChart>
      <c:catAx>
        <c:axId val="15851350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133088"/>
        <c:crosses val="autoZero"/>
        <c:auto val="1"/>
        <c:lblAlgn val="ctr"/>
        <c:lblOffset val="100"/>
        <c:noMultiLvlLbl val="0"/>
      </c:catAx>
      <c:valAx>
        <c:axId val="15851330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Monthly</a:t>
                </a:r>
                <a:r>
                  <a:rPr lang="en-US" b="1" baseline="0"/>
                  <a:t> Salary (HKD)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13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[jobs_clenaed.xlsx]3_v1!PivotTable3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Monthly Salary by Required Experince (Based on HK GOV job Listings)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'3_v1'!$B$3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'3_v1'!$A$4:$A$12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10</c:v>
                </c:pt>
              </c:strCache>
            </c:strRef>
          </c:cat>
          <c:val>
            <c:numRef>
              <c:f>'3_v1'!$B$4:$B$12</c:f>
              <c:numCache>
                <c:formatCode>General</c:formatCode>
                <c:ptCount val="8"/>
                <c:pt idx="0">
                  <c:v>53985.128205128203</c:v>
                </c:pt>
                <c:pt idx="1">
                  <c:v>82032.5</c:v>
                </c:pt>
                <c:pt idx="2">
                  <c:v>52557.5</c:v>
                </c:pt>
                <c:pt idx="3">
                  <c:v>63115</c:v>
                </c:pt>
                <c:pt idx="4">
                  <c:v>81510</c:v>
                </c:pt>
                <c:pt idx="5">
                  <c:v>48922.5</c:v>
                </c:pt>
                <c:pt idx="6">
                  <c:v>61732</c:v>
                </c:pt>
                <c:pt idx="7">
                  <c:v>68720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3-42E8-AD26-127463AC8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163808"/>
        <c:axId val="1585180608"/>
      </c:barChart>
      <c:catAx>
        <c:axId val="1585163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of Experience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180608"/>
        <c:crosses val="autoZero"/>
        <c:auto val="1"/>
        <c:lblAlgn val="ctr"/>
        <c:lblOffset val="100"/>
        <c:noMultiLvlLbl val="0"/>
      </c:catAx>
      <c:valAx>
        <c:axId val="158518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Monthly Salay (HKD)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1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[jobs_clenaed.xlsx]3_v2!PivotTable4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Growth by Experince</a:t>
            </a:r>
            <a:r>
              <a:rPr lang="en-US" baseline="0"/>
              <a:t> Level (Based on HK GOV job Listings)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'3_v2'!$B$3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1E4-47D4-8EB0-16D5A508074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E4-47D4-8EB0-16D5A5080742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E4-47D4-8EB0-16D5A5080742}"/>
              </c:ext>
            </c:extLst>
          </c:dPt>
          <c:cat>
            <c:strRef>
              <c:f>'3_v2'!$A$4:$A$7</c:f>
              <c:strCache>
                <c:ptCount val="3"/>
                <c:pt idx="0">
                  <c:v>Entry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'3_v2'!$B$4:$B$7</c:f>
              <c:numCache>
                <c:formatCode>_("$"* #,##0_);_("$"* \(#,##0\);_("$"* "-"_);_(@_)</c:formatCode>
                <c:ptCount val="3"/>
                <c:pt idx="0">
                  <c:v>55104.777777777781</c:v>
                </c:pt>
                <c:pt idx="1">
                  <c:v>62116</c:v>
                </c:pt>
                <c:pt idx="2">
                  <c:v>62896.666666666664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4-47D4-8EB0-16D5A5080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182048"/>
        <c:axId val="1585173888"/>
      </c:barChart>
      <c:catAx>
        <c:axId val="158518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Experience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173888"/>
        <c:crosses val="autoZero"/>
        <c:auto val="1"/>
        <c:lblAlgn val="ctr"/>
        <c:lblOffset val="100"/>
        <c:noMultiLvlLbl val="0"/>
      </c:catAx>
      <c:valAx>
        <c:axId val="1585173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Monthly</a:t>
                </a:r>
                <a:r>
                  <a:rPr lang="en-US" baseline="0"/>
                  <a:t> Salary (HKD)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18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[jobs_clenaed.xlsx]4!PivotTable7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Distribution by Experience Level (HK GOV Jobs)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'4'!$A$5:$A$8</c:f>
              <c:strCache>
                <c:ptCount val="3"/>
                <c:pt idx="0">
                  <c:v>Entry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'4'!$B$5:$B$8</c:f>
              <c:numCache>
                <c:formatCode>0.00%</c:formatCode>
                <c:ptCount val="3"/>
                <c:pt idx="0">
                  <c:v>0.31111111111111112</c:v>
                </c:pt>
                <c:pt idx="1">
                  <c:v>0.5</c:v>
                </c:pt>
                <c:pt idx="2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3-4BE2-BD5C-7004B89C8934}"/>
            </c:ext>
          </c:extLst>
        </c:ser>
        <c:ser>
          <c:idx val="1"/>
          <c:order val="1"/>
          <c:tx>
            <c:strRef>
              <c:f>'4'!$C$3:$C$4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'4'!$A$5:$A$8</c:f>
              <c:strCache>
                <c:ptCount val="3"/>
                <c:pt idx="0">
                  <c:v>Entry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'4'!$C$5:$C$8</c:f>
              <c:numCache>
                <c:formatCode>0.00%</c:formatCode>
                <c:ptCount val="3"/>
                <c:pt idx="0">
                  <c:v>0.68888888888888888</c:v>
                </c:pt>
                <c:pt idx="1">
                  <c:v>0.5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3-4BE2-BD5C-7004B89C8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205568"/>
        <c:axId val="1585202688"/>
      </c:barChart>
      <c:catAx>
        <c:axId val="158520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Experience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202688"/>
        <c:crosses val="autoZero"/>
        <c:auto val="1"/>
        <c:lblAlgn val="ctr"/>
        <c:lblOffset val="100"/>
        <c:noMultiLvlLbl val="0"/>
      </c:catAx>
      <c:valAx>
        <c:axId val="158520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Jobs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20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Average Salary  by Job</a:t>
            </a:r>
            <a:r>
              <a:rPr lang="en-US" baseline="0"/>
              <a:t>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'5'!$C$2</c:f>
              <c:strCache>
                <c:ptCount val="1"/>
                <c:pt idx="0">
                  <c:v> Average Salary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'5'!$B$3:$B$4</c:f>
              <c:strCache>
                <c:ptCount val="2"/>
                <c:pt idx="0">
                  <c:v>Civil Service</c:v>
                </c:pt>
                <c:pt idx="1">
                  <c:v>Non-Civil Service / Contract</c:v>
                </c:pt>
              </c:strCache>
            </c:strRef>
          </c:cat>
          <c:val>
            <c:numRef>
              <c:f>'5'!$C$3:$C$4</c:f>
              <c:numCache>
                <c:formatCode>_("$"* #,##0.00_);_("$"* \(#,##0.00\);_("$"* "-"??_);_(@_)</c:formatCode>
                <c:ptCount val="2"/>
                <c:pt idx="0">
                  <c:v>51324.88</c:v>
                </c:pt>
                <c:pt idx="1">
                  <c:v>71616.31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0-40B4-A515-8D8E3FD3A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922207"/>
        <c:axId val="930918847"/>
      </c:barChart>
      <c:catAx>
        <c:axId val="93092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18847"/>
        <c:crosses val="autoZero"/>
        <c:auto val="1"/>
        <c:lblAlgn val="ctr"/>
        <c:lblOffset val="100"/>
        <c:noMultiLvlLbl val="0"/>
      </c:catAx>
      <c:valAx>
        <c:axId val="9309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Monthly Salary (HKD)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2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Job  Type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'5'!$C$21</c:f>
              <c:strCache>
                <c:ptCount val="1"/>
                <c:pt idx="0">
                  <c:v> Percentage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29-45F8-8A26-AE30A4E88B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29-45F8-8A26-AE30A4E88B76}"/>
              </c:ext>
            </c:extLst>
          </c:dPt>
          <c:dLbls>
            <c:dLbl>
              <c:idx val="0"/>
              <c:layout>
                <c:manualLayout>
                  <c:x val="-1.6686351706036745E-3"/>
                  <c:y val="1.669874599008448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29-45F8-8A26-AE30A4E88B76}"/>
                </c:ext>
              </c:extLst>
            </c:dLbl>
            <c:dLbl>
              <c:idx val="1"/>
              <c:layout>
                <c:manualLayout>
                  <c:x val="5.1391076115485058E-3"/>
                  <c:y val="-2.933617672790901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29-45F8-8A26-AE30A4E88B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'5'!$B$22:$B$23</c:f>
              <c:strCache>
                <c:ptCount val="2"/>
                <c:pt idx="0">
                  <c:v>Civil Service</c:v>
                </c:pt>
                <c:pt idx="1">
                  <c:v>Non-Civil Service / Contract</c:v>
                </c:pt>
              </c:strCache>
            </c:strRef>
          </c:cat>
          <c:val>
            <c:numRef>
              <c:f>'5'!$C$22:$C$23</c:f>
              <c:numCache>
                <c:formatCode>0%</c:formatCode>
                <c:ptCount val="2"/>
                <c:pt idx="0">
                  <c:v>0.7</c:v>
                </c:pt>
                <c:pt idx="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9-45F8-8A26-AE30A4E8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Salary Distribution of HK GOV Jobs (Based on Job Listings Data)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Salary Distribution of HK GOV Jobs (Based on Job Listings Data)</a:t>
          </a:r>
        </a:p>
      </cx:txPr>
    </cx:title>
    <cx:plotArea>
      <cx:plotAreaRegion>
        <cx:series layoutId="clusteredColumn" uniqueId="{1F4A6694-9E9F-423A-9379-68888E016E36}">
          <cx:tx>
            <cx:txData>
              <cx:f>_xlchart.v1.0</cx:f>
              <cx:v>salary</cx:v>
            </cx:txData>
          </cx:tx>
          <cx:dataId val="0"/>
          <cx:layoutPr>
            <cx:binning intervalClosed="r">
              <cx:binSize val="10000"/>
            </cx:binning>
          </cx:layoutPr>
        </cx:series>
      </cx:plotAreaRegion>
      <cx:axis id="0">
        <cx:catScaling gapWidth="0"/>
        <cx:title>
          <cx:tx>
            <cx:txData>
              <cx:v>Monthly Salary (HKD)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Monthly Salary (HKD)</a:t>
              </a:r>
            </a:p>
          </cx:txPr>
        </cx:title>
        <cx:tickLabels/>
        <cx:numFmt formatCode="_($* #,##0_);_($* (#,##0);_($* &quot;-&quot;_);_(@_)" sourceLinked="0"/>
      </cx:axis>
      <cx:axis id="1">
        <cx:valScaling/>
        <cx:title>
          <cx:tx>
            <cx:txData>
              <cx:v>Number of Job Listings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Job Listings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</xdr:colOff>
      <xdr:row>1</xdr:row>
      <xdr:rowOff>138112</xdr:rowOff>
    </xdr:from>
    <xdr:to>
      <xdr:col>16</xdr:col>
      <xdr:colOff>333374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D979D-CE14-E50A-182F-E00AB114F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542924</xdr:colOff>
      <xdr:row>3</xdr:row>
      <xdr:rowOff>19050</xdr:rowOff>
    </xdr:from>
    <xdr:to>
      <xdr:col>21</xdr:col>
      <xdr:colOff>428625</xdr:colOff>
      <xdr:row>26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C6F6012-E917-435F-A4D3-43425D01F1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2524" y="590550"/>
              <a:ext cx="12077701" cy="4400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476249</xdr:colOff>
      <xdr:row>1</xdr:row>
      <xdr:rowOff>185736</xdr:rowOff>
    </xdr:from>
    <xdr:to>
      <xdr:col>15</xdr:col>
      <xdr:colOff>238124</xdr:colOff>
      <xdr:row>19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CABAC-09D6-79BF-8346-703B4DBED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176210</xdr:rowOff>
    </xdr:from>
    <xdr:to>
      <xdr:col>16</xdr:col>
      <xdr:colOff>104775</xdr:colOff>
      <xdr:row>26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B9C57-4F6D-F327-C990-2A9F15F27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47625</xdr:colOff>
      <xdr:row>1</xdr:row>
      <xdr:rowOff>66675</xdr:rowOff>
    </xdr:from>
    <xdr:ext cx="3179397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54CC27-76AE-0835-FEA6-3B15A757C928}"/>
            </a:ext>
          </a:extLst>
        </xdr:cNvPr>
        <xdr:cNvSpPr txBox="1"/>
      </xdr:nvSpPr>
      <xdr:spPr>
        <a:xfrm>
          <a:off x="7515225" y="257175"/>
          <a:ext cx="31793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Biggest salary increase occurs from Entry to Mid level.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85724</xdr:colOff>
      <xdr:row>1</xdr:row>
      <xdr:rowOff>152401</xdr:rowOff>
    </xdr:from>
    <xdr:to>
      <xdr:col>17</xdr:col>
      <xdr:colOff>104775</xdr:colOff>
      <xdr:row>27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76AAD-C225-37E5-F93C-76C129B61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590550</xdr:colOff>
      <xdr:row>28</xdr:row>
      <xdr:rowOff>171450</xdr:rowOff>
    </xdr:from>
    <xdr:ext cx="4173002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48D06C-F37A-2DD3-B0D0-85E572410301}"/>
            </a:ext>
          </a:extLst>
        </xdr:cNvPr>
        <xdr:cNvSpPr txBox="1"/>
      </xdr:nvSpPr>
      <xdr:spPr>
        <a:xfrm>
          <a:off x="5934075" y="5505450"/>
          <a:ext cx="417300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Entry-level jobs are mostly low-paying, </a:t>
          </a:r>
        </a:p>
        <a:p>
          <a:r>
            <a:rPr lang="en-US" sz="1100"/>
            <a:t>while senior roles have a higher proportion of high-paying opportunities.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495299</xdr:colOff>
      <xdr:row>0</xdr:row>
      <xdr:rowOff>147636</xdr:rowOff>
    </xdr:from>
    <xdr:to>
      <xdr:col>11</xdr:col>
      <xdr:colOff>419100</xdr:colOff>
      <xdr:row>17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A7770-5D64-E39D-937E-A1583A568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119062</xdr:colOff>
      <xdr:row>18</xdr:row>
      <xdr:rowOff>185737</xdr:rowOff>
    </xdr:from>
    <xdr:to>
      <xdr:col>11</xdr:col>
      <xdr:colOff>423862</xdr:colOff>
      <xdr:row>33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153373-D189-BAB3-8AB3-EFBCAB817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476250</xdr:colOff>
      <xdr:row>16</xdr:row>
      <xdr:rowOff>114300</xdr:rowOff>
    </xdr:from>
    <xdr:ext cx="4275016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17B6A3-77E0-0155-25E6-F34D99F03FF7}"/>
            </a:ext>
          </a:extLst>
        </xdr:cNvPr>
        <xdr:cNvSpPr txBox="1"/>
      </xdr:nvSpPr>
      <xdr:spPr>
        <a:xfrm>
          <a:off x="4638675" y="3171825"/>
          <a:ext cx="427501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Non-civil service roles tend to have higher salaries than civil service roles.</a:t>
          </a:r>
        </a:p>
      </xdr:txBody>
    </xdr:sp>
    <xdr:clientData/>
  </xdr:oneCellAnchor>
  <xdr:oneCellAnchor>
    <xdr:from>
      <xdr:col>5</xdr:col>
      <xdr:colOff>295275</xdr:colOff>
      <xdr:row>32</xdr:row>
      <xdr:rowOff>161925</xdr:rowOff>
    </xdr:from>
    <xdr:ext cx="3164264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553C6C-959F-0FE0-BA5C-2FA400B80AD6}"/>
            </a:ext>
          </a:extLst>
        </xdr:cNvPr>
        <xdr:cNvSpPr txBox="1"/>
      </xdr:nvSpPr>
      <xdr:spPr>
        <a:xfrm>
          <a:off x="5067300" y="6276975"/>
          <a:ext cx="31642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Civil service roles make up the majority of job listings.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oy, Freda" refreshedDate="46135.492163078707" createdVersion="8" refreshedVersion="8" minRefreshableVersion="3" recordCount="61" xr:uid="{E3550069-04C6-43AA-9717-07AF5E4146DE}">
  <cacheSource type="worksheet">
    <worksheetSource ref="A1:H62" sheet="jobs_clenaed"/>
  </cacheSource>
  <cacheFields count="8">
    <cacheField name="jobname" numFmtId="0">
      <sharedItems/>
    </cacheField>
    <cacheField name="deptnamejve" numFmtId="0">
      <sharedItems count="26">
        <s v="Department of Health"/>
        <s v="Education Bureau"/>
        <s v="Hong Kong Police Force"/>
        <s v="Agriculture, Fisheries and Conservation Department"/>
        <s v="Fire Services Department"/>
        <s v="Customs and Excise Department"/>
        <s v="Various Government Bureaux and Departments"/>
        <s v="Home Affairs Department"/>
        <s v="Leisure and Cultural Services Department"/>
        <s v="Lands Department"/>
        <s v="Electrical and Mechanical Services Department"/>
        <s v="Environmental Protection Department"/>
        <s v="Immigration Department"/>
        <s v="Food and Environmental Hygiene Department"/>
        <s v="Companies Registry"/>
        <s v="Housing Department"/>
        <s v="Correctional Services Department"/>
        <s v="Census and Statistics Department"/>
        <s v="Invest Hong Kong"/>
        <s v="Government Laboratory"/>
        <s v="Civil Service Bureau"/>
        <s v="Marine Department"/>
        <s v="Digital Policy Office"/>
        <s v="Radio Television Hong Kong"/>
        <s v="Land Registry"/>
        <s v="Buildings Department"/>
      </sharedItems>
    </cacheField>
    <cacheField name="entrypay" numFmtId="0">
      <sharedItems/>
    </cacheField>
    <cacheField name="enddate" numFmtId="22">
      <sharedItems containsSemiMixedTypes="0" containsNonDate="0" containsDate="1" containsString="0" minDate="2026-04-23T17:00:00" maxDate="2099-12-31T23:59:00"/>
    </cacheField>
    <cacheField name="expfrom" numFmtId="0">
      <sharedItems containsSemiMixedTypes="0" containsString="0" containsNumber="1" containsInteger="1" minValue="0" maxValue="10" count="8">
        <n v="0"/>
        <n v="3"/>
        <n v="1"/>
        <n v="6"/>
        <n v="2"/>
        <n v="5"/>
        <n v="4"/>
        <n v="10"/>
      </sharedItems>
    </cacheField>
    <cacheField name="expto" numFmtId="0">
      <sharedItems containsNonDate="0" containsString="0" containsBlank="1"/>
    </cacheField>
    <cacheField name="salary" numFmtId="0">
      <sharedItems containsSemiMixedTypes="0" containsString="0" containsNumber="1" containsInteger="1" minValue="11500" maxValue="137085"/>
    </cacheField>
    <cacheField name="is_monthl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oy, Freda" refreshedDate="46135.610465509257" createdVersion="8" refreshedVersion="8" minRefreshableVersion="3" recordCount="61" xr:uid="{525FAAA1-5834-4528-AB96-549271266688}">
  <cacheSource type="worksheet">
    <worksheetSource ref="A1:I62" sheet="jobs_clenaed"/>
  </cacheSource>
  <cacheFields count="9">
    <cacheField name="jobname" numFmtId="0">
      <sharedItems/>
    </cacheField>
    <cacheField name="deptnamejve" numFmtId="0">
      <sharedItems/>
    </cacheField>
    <cacheField name="entrypay" numFmtId="0">
      <sharedItems/>
    </cacheField>
    <cacheField name="enddate" numFmtId="22">
      <sharedItems containsSemiMixedTypes="0" containsNonDate="0" containsDate="1" containsString="0" minDate="2026-04-23T17:00:00" maxDate="2099-12-31T23:59:00"/>
    </cacheField>
    <cacheField name="expfrom" numFmtId="0">
      <sharedItems containsSemiMixedTypes="0" containsString="0" containsNumber="1" containsInteger="1" minValue="0" maxValue="10"/>
    </cacheField>
    <cacheField name="expto" numFmtId="0">
      <sharedItems containsNonDate="0" containsString="0" containsBlank="1"/>
    </cacheField>
    <cacheField name="salary" numFmtId="0">
      <sharedItems containsSemiMixedTypes="0" containsString="0" containsNumber="1" containsInteger="1" minValue="11500" maxValue="137085"/>
    </cacheField>
    <cacheField name="is_monthly" numFmtId="0">
      <sharedItems/>
    </cacheField>
    <cacheField name="experience_level" numFmtId="0">
      <sharedItems count="3">
        <s v="Entry"/>
        <s v="Mid"/>
        <s v="Seni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oy, Freda" refreshedDate="46135.621820370368" createdVersion="8" refreshedVersion="8" minRefreshableVersion="3" recordCount="61" xr:uid="{B617FE6F-F91C-4EAA-9036-2D1693121902}">
  <cacheSource type="worksheet">
    <worksheetSource ref="A1:J62" sheet="jobs_clenaed"/>
  </cacheSource>
  <cacheFields count="10">
    <cacheField name="jobname" numFmtId="0">
      <sharedItems/>
    </cacheField>
    <cacheField name="deptnamejve" numFmtId="0">
      <sharedItems/>
    </cacheField>
    <cacheField name="entrypay" numFmtId="0">
      <sharedItems/>
    </cacheField>
    <cacheField name="enddate" numFmtId="22">
      <sharedItems containsSemiMixedTypes="0" containsNonDate="0" containsDate="1" containsString="0" minDate="2026-04-23T17:00:00" maxDate="2099-12-31T23:59:00"/>
    </cacheField>
    <cacheField name="expfrom" numFmtId="0">
      <sharedItems containsSemiMixedTypes="0" containsString="0" containsNumber="1" containsInteger="1" minValue="0" maxValue="10"/>
    </cacheField>
    <cacheField name="expto" numFmtId="0">
      <sharedItems containsNonDate="0" containsString="0" containsBlank="1"/>
    </cacheField>
    <cacheField name="salary" numFmtId="0">
      <sharedItems containsSemiMixedTypes="0" containsString="0" containsNumber="1" containsInteger="1" minValue="11500" maxValue="137085"/>
    </cacheField>
    <cacheField name="is_monthly" numFmtId="0">
      <sharedItems/>
    </cacheField>
    <cacheField name="experience_level" numFmtId="0">
      <sharedItems count="3">
        <s v="Entry"/>
        <s v="Mid"/>
        <s v="Senior"/>
      </sharedItems>
    </cacheField>
    <cacheField name="salary_level" numFmtId="0">
      <sharedItems count="2"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Senior Clinician (Orthodontics)"/>
    <x v="0"/>
    <s v="Full-time: HK$137,085 per month (plus end-of-contract gratuity) _x000d__x000a_Part-time: HK$780 per hour"/>
    <d v="2099-12-31T23:59:00"/>
    <x v="0"/>
    <m/>
    <n v="137085"/>
    <b v="1"/>
  </r>
  <r>
    <s v="Contract Dentist (Orthodontics)"/>
    <x v="0"/>
    <s v="Full-time: HK$93,255 per month (plus end-of-contract gratuity)_x000d__x000a_Part-time: HK$549 per hour_x000d__x000a__x000d__x000a_"/>
    <d v="2099-12-31T23:59:00"/>
    <x v="0"/>
    <m/>
    <n v="93255"/>
    <b v="1"/>
  </r>
  <r>
    <s v="Contract Senior Doctor (Antimicrobial Resistance)"/>
    <x v="0"/>
    <s v="Monthly salary at HK$137,085 plus end-of-contract gratuity."/>
    <d v="2099-12-31T23:59:00"/>
    <x v="0"/>
    <m/>
    <n v="137085"/>
    <b v="1"/>
  </r>
  <r>
    <s v="Temporary Teacher (Government Secondary School)"/>
    <x v="1"/>
    <s v="$35,080 per month"/>
    <d v="2099-12-31T23:59:00"/>
    <x v="0"/>
    <m/>
    <n v="35080"/>
    <b v="1"/>
  </r>
  <r>
    <s v="Temporary Laboratory Technician II"/>
    <x v="1"/>
    <s v="$23,585 per month"/>
    <d v="2099-12-31T23:59:00"/>
    <x v="0"/>
    <m/>
    <n v="23585"/>
    <b v="1"/>
  </r>
  <r>
    <s v="Temporary Teacher (Government Primary School)"/>
    <x v="1"/>
    <s v="$38,715 per month"/>
    <d v="2099-12-31T23:59:00"/>
    <x v="0"/>
    <m/>
    <n v="38715"/>
    <b v="1"/>
  </r>
  <r>
    <s v="Contract Senior Doctor (Private Healthcare Facilities) "/>
    <x v="0"/>
    <s v="Monthly salary at HK$137,085 plus end-of-contract gratuity."/>
    <d v="2099-12-31T23:59:00"/>
    <x v="0"/>
    <m/>
    <n v="137085"/>
    <b v="1"/>
  </r>
  <r>
    <s v="Various posts in Government Secondary and Primary Schools"/>
    <x v="1"/>
    <s v="Monthly salary start at HK$14,710 depending on post applied for"/>
    <d v="2099-12-31T23:59:00"/>
    <x v="0"/>
    <m/>
    <n v="14710"/>
    <b v="1"/>
  </r>
  <r>
    <s v="Dental Officer"/>
    <x v="0"/>
    <s v="Master Pay Scale Point 30 (HK$71,010 per month) to Master Pay Scale Point 44 (HK$119,650 per month) [See Note (1)]"/>
    <d v="2099-12-31T23:59:00"/>
    <x v="0"/>
    <m/>
    <n v="119650"/>
    <b v="1"/>
  </r>
  <r>
    <s v="Dental Hygienist"/>
    <x v="0"/>
    <s v="Master Pay Scale Point 5 (HK$19,535 per month) to Master Pay Scale Point 19 (HK$42,640 per month) [See Note (1)]"/>
    <d v="2099-12-31T23:59:00"/>
    <x v="0"/>
    <m/>
    <n v="42640"/>
    <b v="1"/>
  </r>
  <r>
    <s v="Police Constable"/>
    <x v="2"/>
    <s v="Police Pay Scale Point 4 ($28,940) to Police Pay Scale Point 17 ($42,390) (Note 1) per month"/>
    <d v="2099-12-31T23:59:00"/>
    <x v="0"/>
    <m/>
    <n v="42390"/>
    <b v="1"/>
  </r>
  <r>
    <s v="Police Inspector"/>
    <x v="2"/>
    <s v="Police Pay Scale Point 24 ($52,015) (as commensurate with respective entry qualifications) to Police Pay Scale Point 43 ($99,500) (Note 1) per month"/>
    <d v="2099-12-31T23:59:00"/>
    <x v="0"/>
    <m/>
    <n v="99500"/>
    <b v="1"/>
  </r>
  <r>
    <s v="Contract Doctor"/>
    <x v="0"/>
    <s v="Monthly salary at HK$71,010 - HK$101,775 depending on relevant qualification and experience, plus end-of-contract gratuity.  "/>
    <d v="2099-12-31T23:59:00"/>
    <x v="0"/>
    <m/>
    <n v="101775"/>
    <b v="1"/>
  </r>
  <r>
    <s v="Contract Senior Doctor (Infection Control)"/>
    <x v="0"/>
    <s v="Monthly salary at HK$137,085 plus end-of-contract gratuity."/>
    <d v="2099-12-31T23:59:00"/>
    <x v="0"/>
    <m/>
    <n v="137085"/>
    <b v="1"/>
  </r>
  <r>
    <s v="Contract Senior Doctor (Communicable Disease Branch)"/>
    <x v="0"/>
    <s v="Monthly salary at HK$137,085 plus end-of-contract gratuity."/>
    <d v="2099-12-31T23:59:00"/>
    <x v="0"/>
    <m/>
    <n v="137085"/>
    <b v="1"/>
  </r>
  <r>
    <s v="Registered Nurse"/>
    <x v="0"/>
    <s v="Master Pay Scale Point 15 ($35,080 per month) to Master Pay Scale Point 25 ($56,450 per month)"/>
    <d v="2099-12-31T23:59:00"/>
    <x v="0"/>
    <m/>
    <n v="56450"/>
    <b v="1"/>
  </r>
  <r>
    <s v="Medical and Health Officer"/>
    <x v="0"/>
    <s v="Master Pay Scale Point 32 ($77,855) to Master Pay Scale Point 44B ($132,275) per month (See Notes (1)&amp;(2))."/>
    <d v="2099-12-31T23:59:00"/>
    <x v="0"/>
    <m/>
    <n v="132275"/>
    <b v="1"/>
  </r>
  <r>
    <s v="Contract Clinician (Social Hygiene Service)"/>
    <x v="0"/>
    <s v="Monthly salary at HK$101,775, plus 15% end-of-contract gratuity"/>
    <d v="2099-12-31T23:59:00"/>
    <x v="1"/>
    <m/>
    <n v="101775"/>
    <b v="1"/>
  </r>
  <r>
    <s v="Contract Clinician (Child Assessment Service)"/>
    <x v="0"/>
    <s v="Monthly salary at HK$101,775, plus 15% end-of-contract gratuity.  "/>
    <d v="2099-12-31T23:59:00"/>
    <x v="1"/>
    <m/>
    <n v="101775"/>
    <b v="1"/>
  </r>
  <r>
    <s v="Contract Clinician (Tuberculosis and Chest Service)"/>
    <x v="0"/>
    <s v="Monthly salary at HK$101,775, plus 15% end-of-contract gratuity.  "/>
    <d v="2099-12-31T23:59:00"/>
    <x v="1"/>
    <m/>
    <n v="101775"/>
    <b v="1"/>
  </r>
  <r>
    <s v="Artisan"/>
    <x v="3"/>
    <s v="Master Pay Scale Point 5 ($19,535) to Master Pay Scale Point 8 ($23,585) per month"/>
    <d v="2099-12-31T23:59:00"/>
    <x v="1"/>
    <m/>
    <n v="23585"/>
    <b v="1"/>
  </r>
  <r>
    <s v="Station Officer (Operational)"/>
    <x v="4"/>
    <s v="Disciplined Services (Officer) Pay Scale Point 8 ($48,335) per month to Disciplined Services (Officer) Pay Scale Point 27 [Note (a)]($99,500) per month."/>
    <d v="2099-12-31T23:59:00"/>
    <x v="0"/>
    <m/>
    <n v="99500"/>
    <b v="1"/>
  </r>
  <r>
    <s v="Customs Officer"/>
    <x v="5"/>
    <s v="Disciplined Services (Rank and File) Pay Scale Point 5 (HKD$25,470 per month) to Disciplined Services (Rank and File) Pay Scale Point 16 (HKD$36,270 per month)"/>
    <d v="2099-12-31T23:59:00"/>
    <x v="0"/>
    <m/>
    <n v="36270"/>
    <b v="1"/>
  </r>
  <r>
    <s v="Assistant Clerical Officer"/>
    <x v="6"/>
    <s v="Master Pay Scale Point 3 (HK$17,200 per month) to Master Pay Scale Point 15 (HK$35,080 per month)"/>
    <d v="2099-12-31T23:59:00"/>
    <x v="0"/>
    <m/>
    <n v="35080"/>
    <b v="1"/>
  </r>
  <r>
    <s v="Clerical Assistant"/>
    <x v="6"/>
    <s v="Master Pay Scale Point 1 (HK$15,180 per month) to Master Pay Scale Point 10 (HK$26,590 per month)."/>
    <d v="2099-12-31T23:59:00"/>
    <x v="0"/>
    <m/>
    <n v="26590"/>
    <b v="1"/>
  </r>
  <r>
    <s v="Personal Secretary II"/>
    <x v="6"/>
    <s v="Master Pay Scale Point 4 (HK$18,305 per month) to Master Pay Scale Point 15 (HK$35,080 per month)."/>
    <d v="2099-12-31T23:59:00"/>
    <x v="0"/>
    <m/>
    <n v="35080"/>
    <b v="1"/>
  </r>
  <r>
    <s v="Project Coordinator "/>
    <x v="7"/>
    <s v="$18,200 per month"/>
    <d v="2026-04-28T17:00:00"/>
    <x v="0"/>
    <m/>
    <n v="18200"/>
    <b v="1"/>
  </r>
  <r>
    <s v="Summer Intern (Hong Kong Public Libraries) â€“ Post-Secondary Student Summer Internship Programme 2026"/>
    <x v="8"/>
    <s v="$11,500 per month"/>
    <d v="2026-04-30T18:00:00"/>
    <x v="0"/>
    <m/>
    <n v="11500"/>
    <b v="1"/>
  </r>
  <r>
    <s v="Estate Surveyor"/>
    <x v="9"/>
    <s v="Master Pay Scale Point 30 (HK$71,010 per month) to Master Pay Scale Point 44 (HK$119,650 per month)"/>
    <d v="2026-05-04T23:59:00"/>
    <x v="2"/>
    <m/>
    <n v="119650"/>
    <b v="1"/>
  </r>
  <r>
    <s v="Summer Intern"/>
    <x v="7"/>
    <s v="$11,500 per month"/>
    <d v="2026-05-05T17:00:00"/>
    <x v="0"/>
    <m/>
    <n v="11500"/>
    <b v="1"/>
  </r>
  <r>
    <s v="Post-Secondary Student Summer Internship Programme 2026 - Leisure Services Branch"/>
    <x v="8"/>
    <s v="$11,500 per month"/>
    <d v="2026-04-23T18:00:00"/>
    <x v="0"/>
    <m/>
    <n v="11500"/>
    <b v="1"/>
  </r>
  <r>
    <s v="Assistant Research Officer"/>
    <x v="10"/>
    <s v="HK$35,800 - HK$44,415 per month"/>
    <d v="2026-04-23T23:59:00"/>
    <x v="2"/>
    <m/>
    <n v="44415"/>
    <b v="1"/>
  </r>
  <r>
    <s v="Analytical Testing Technician"/>
    <x v="11"/>
    <s v="HK$19,120 per month"/>
    <d v="2026-04-24T18:00:00"/>
    <x v="0"/>
    <m/>
    <n v="19120"/>
    <b v="1"/>
  </r>
  <r>
    <s v="Immigration Assistant"/>
    <x v="12"/>
    <s v="Disciplined Services (Rank and File) Pay Scale Point 4a (HK$25,115) to Disciplined Services (Rank and File) Pay Scale Point 15 (HK$35,255) per month"/>
    <d v="2099-12-31T23:59:00"/>
    <x v="0"/>
    <m/>
    <n v="35255"/>
    <b v="1"/>
  </r>
  <r>
    <s v="Assistant Accounting Manager"/>
    <x v="13"/>
    <s v="HK$33,405 per month"/>
    <d v="2026-04-24T23:59:00"/>
    <x v="1"/>
    <m/>
    <n v="33405"/>
    <b v="1"/>
  </r>
  <r>
    <s v="Curriculum Officer (Gifted Education) (EDB/EI/105/26)"/>
    <x v="1"/>
    <s v="$82,330 per month"/>
    <d v="2026-04-24T23:59:00"/>
    <x v="3"/>
    <m/>
    <n v="82330"/>
    <b v="1"/>
  </r>
  <r>
    <s v="Contract Solicitor"/>
    <x v="14"/>
    <s v="HK$74,345 to HK$97,575 per month (depending on post-qualification experience)"/>
    <d v="2026-04-23T23:59:00"/>
    <x v="4"/>
    <m/>
    <n v="97575"/>
    <b v="1"/>
  </r>
  <r>
    <s v="Curriculum Officer [School-based Curriculum Development (Secondary)] (EDB/ITE/107/26)_x000d__x000a_"/>
    <x v="1"/>
    <s v="$82,330 per month"/>
    <d v="2026-04-24T23:59:00"/>
    <x v="3"/>
    <m/>
    <n v="82330"/>
    <b v="1"/>
  </r>
  <r>
    <s v="Project Assistant (Kindergarten Administration 2) (EDB/KGE/109/26)"/>
    <x v="1"/>
    <s v="$35,080 per month"/>
    <d v="2026-04-24T23:59:00"/>
    <x v="3"/>
    <m/>
    <n v="35080"/>
    <b v="1"/>
  </r>
  <r>
    <s v="Literacy Programme Consultant (Centralised Professional Development) (EDB/CDI/110/26)"/>
    <x v="1"/>
    <s v="$82,330 per month"/>
    <d v="2026-04-30T23:59:00"/>
    <x v="3"/>
    <m/>
    <n v="82330"/>
    <b v="1"/>
  </r>
  <r>
    <s v="Works Supervisor II (Construction)"/>
    <x v="15"/>
    <s v="Master Pay Scale Point 9 ($25,115 per month) to Master Pay Scale Point 12 ($29,995 per month)"/>
    <d v="2026-04-24T23:59:00"/>
    <x v="0"/>
    <m/>
    <n v="29995"/>
    <b v="1"/>
  </r>
  <r>
    <s v="Works Supervisor II"/>
    <x v="16"/>
    <s v="Master Pay Scale Point 9 ($25,115) to Master Pay Scale Point 12 ($29,995) per month."/>
    <d v="2026-04-23T23:59:00"/>
    <x v="5"/>
    <m/>
    <n v="29995"/>
    <b v="1"/>
  </r>
  <r>
    <s v="Multimedia Designer"/>
    <x v="17"/>
    <s v="HK$36,850 per month"/>
    <d v="2026-04-30T23:59:00"/>
    <x v="1"/>
    <m/>
    <n v="36850"/>
    <b v="1"/>
  </r>
  <r>
    <s v="Foreman"/>
    <x v="13"/>
    <s v="Master Pay Scale Point 7 ($22,145 per month) to Master Pay Scale Point 11 ($28,225 per month)"/>
    <d v="2026-04-24T23:59:00"/>
    <x v="4"/>
    <m/>
    <n v="28225"/>
    <b v="1"/>
  </r>
  <r>
    <s v="Senior Vice President, Global Connect"/>
    <x v="18"/>
    <s v="HK$67,850 per month"/>
    <d v="2026-04-23T17:00:00"/>
    <x v="5"/>
    <m/>
    <n v="67850"/>
    <b v="1"/>
  </r>
  <r>
    <s v="Summer Intern (Analytical and Advisory Services Division)"/>
    <x v="19"/>
    <s v="$11,500 per month"/>
    <d v="2026-04-27T23:59:00"/>
    <x v="0"/>
    <m/>
    <n v="11500"/>
    <b v="1"/>
  </r>
  <r>
    <s v="Summer Intern (Forensic Science Division)"/>
    <x v="19"/>
    <s v="$11,500 per month"/>
    <d v="2026-04-27T23:59:00"/>
    <x v="0"/>
    <m/>
    <n v="11500"/>
    <b v="1"/>
  </r>
  <r>
    <s v="Training Officer I"/>
    <x v="20"/>
    <s v="Master Pay Scale Point 28 ($64,780 per month) to Master Pay Scale Point 33 ($81,510 per month)."/>
    <d v="2026-05-08T23:59:00"/>
    <x v="6"/>
    <m/>
    <n v="81510"/>
    <b v="1"/>
  </r>
  <r>
    <s v="Statistical Officer II"/>
    <x v="17"/>
    <s v="Master Pay Scale Point 8 (HK$23,585 per month) to Master Pay Scale Point 21 (HK$47,010 per month)"/>
    <d v="2026-04-30T23:59:00"/>
    <x v="0"/>
    <m/>
    <n v="47010"/>
    <b v="1"/>
  </r>
  <r>
    <s v="Senior Artisan (Heavy Crane Driver)"/>
    <x v="21"/>
    <s v="Master Pay Scale Point 8 ($23,585 per month) to Master Pay Scale Point 10 ($26,590 per month)"/>
    <d v="2026-05-04T23:59:00"/>
    <x v="3"/>
    <m/>
    <n v="26590"/>
    <b v="1"/>
  </r>
  <r>
    <s v="Post-Secondary Student Summer Internship Programme (Applicants may also be considered under the Vacation Training Scheme funded by the Development Bureau.  Separate application is not required.)"/>
    <x v="10"/>
    <s v="$11,500 per month"/>
    <d v="2026-05-04T23:59:00"/>
    <x v="0"/>
    <m/>
    <n v="11500"/>
    <b v="1"/>
  </r>
  <r>
    <s v="Assistant Manager (Digital Transformation)"/>
    <x v="22"/>
    <s v="$35,200 per month"/>
    <d v="2026-05-04T17:00:00"/>
    <x v="4"/>
    <m/>
    <n v="35200"/>
    <b v="1"/>
  </r>
  <r>
    <s v="Content Editor/Presenter (TV News and Current Affairs Programme)"/>
    <x v="23"/>
    <s v="HK$42,640 per month"/>
    <d v="2026-04-29T23:59:00"/>
    <x v="1"/>
    <m/>
    <n v="42640"/>
    <b v="1"/>
  </r>
  <r>
    <s v="TV Cast Director/ Presenter"/>
    <x v="23"/>
    <s v="HK$42,640 â€“ HK$49,230 per month, depending on experience"/>
    <d v="2026-04-29T23:59:00"/>
    <x v="4"/>
    <m/>
    <n v="49230"/>
    <b v="1"/>
  </r>
  <r>
    <s v="Technical Instructor (Precast Concrete)"/>
    <x v="16"/>
    <s v="Disciplined Services (Officer) Pay Scale Point 5 ($40,495) to Disciplined Services (Officer) Pay Scale Point 15 ($68,720) per month."/>
    <d v="2026-04-30T23:59:00"/>
    <x v="7"/>
    <m/>
    <n v="68720"/>
    <b v="1"/>
  </r>
  <r>
    <s v="Assistant Curator II (Conservation)"/>
    <x v="8"/>
    <s v="$27,090 per month"/>
    <d v="2026-04-30T23:59:00"/>
    <x v="0"/>
    <m/>
    <n v="27090"/>
    <b v="1"/>
  </r>
  <r>
    <s v="Land Registration Officer II"/>
    <x v="24"/>
    <s v="Master Pay Scale Point 10 (HK$26,590 per month) to Master Pay Scale Point 27 (HK$61,865 per month)"/>
    <d v="2026-05-04T23:59:00"/>
    <x v="0"/>
    <m/>
    <n v="61865"/>
    <b v="1"/>
  </r>
  <r>
    <s v="Dental Surgery Assistant"/>
    <x v="0"/>
    <s v="Master Pay Scale Point 5 (HK$19,535 per month) to Master Pay Scale Point 17 (HK$38,715 per month)."/>
    <d v="2026-04-30T23:59:00"/>
    <x v="0"/>
    <m/>
    <n v="38715"/>
    <b v="1"/>
  </r>
  <r>
    <s v="Project Coordinator"/>
    <x v="7"/>
    <s v="$18,200 per month"/>
    <d v="2026-04-30T23:59:00"/>
    <x v="0"/>
    <m/>
    <n v="18200"/>
    <b v="1"/>
  </r>
  <r>
    <s v="Vacation Trainee (Building Surveying)"/>
    <x v="25"/>
    <s v="HK$11,500 per month"/>
    <d v="2026-04-30T23:59:00"/>
    <x v="0"/>
    <m/>
    <n v="11500"/>
    <b v="1"/>
  </r>
  <r>
    <s v="Vacation Trainee (Structural Engineering)"/>
    <x v="25"/>
    <s v="HK$11,500 per month"/>
    <d v="2026-04-30T23:59:00"/>
    <x v="0"/>
    <m/>
    <n v="11500"/>
    <b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Senior Clinician (Orthodontics)"/>
    <s v="Department of Health"/>
    <s v="Full-time: HK$137,085 per month (plus end-of-contract gratuity) _x000d__x000a_Part-time: HK$780 per hour"/>
    <d v="2099-12-31T23:59:00"/>
    <n v="0"/>
    <m/>
    <n v="137085"/>
    <b v="1"/>
    <x v="0"/>
  </r>
  <r>
    <s v="Contract Dentist (Orthodontics)"/>
    <s v="Department of Health"/>
    <s v="Full-time: HK$93,255 per month (plus end-of-contract gratuity)_x000d__x000a_Part-time: HK$549 per hour_x000d__x000a__x000d__x000a_"/>
    <d v="2099-12-31T23:59:00"/>
    <n v="0"/>
    <m/>
    <n v="93255"/>
    <b v="1"/>
    <x v="0"/>
  </r>
  <r>
    <s v="Contract Senior Doctor (Antimicrobial Resistance)"/>
    <s v="Department of Health"/>
    <s v="Monthly salary at HK$137,085 plus end-of-contract gratuity."/>
    <d v="2099-12-31T23:59:00"/>
    <n v="0"/>
    <m/>
    <n v="137085"/>
    <b v="1"/>
    <x v="0"/>
  </r>
  <r>
    <s v="Temporary Teacher (Government Secondary School)"/>
    <s v="Education Bureau"/>
    <s v="$35,080 per month"/>
    <d v="2099-12-31T23:59:00"/>
    <n v="0"/>
    <m/>
    <n v="35080"/>
    <b v="1"/>
    <x v="0"/>
  </r>
  <r>
    <s v="Temporary Laboratory Technician II"/>
    <s v="Education Bureau"/>
    <s v="$23,585 per month"/>
    <d v="2099-12-31T23:59:00"/>
    <n v="0"/>
    <m/>
    <n v="23585"/>
    <b v="1"/>
    <x v="0"/>
  </r>
  <r>
    <s v="Temporary Teacher (Government Primary School)"/>
    <s v="Education Bureau"/>
    <s v="$38,715 per month"/>
    <d v="2099-12-31T23:59:00"/>
    <n v="0"/>
    <m/>
    <n v="38715"/>
    <b v="1"/>
    <x v="0"/>
  </r>
  <r>
    <s v="Contract Senior Doctor (Private Healthcare Facilities) "/>
    <s v="Department of Health"/>
    <s v="Monthly salary at HK$137,085 plus end-of-contract gratuity."/>
    <d v="2099-12-31T23:59:00"/>
    <n v="0"/>
    <m/>
    <n v="137085"/>
    <b v="1"/>
    <x v="0"/>
  </r>
  <r>
    <s v="Various posts in Government Secondary and Primary Schools"/>
    <s v="Education Bureau"/>
    <s v="Monthly salary start at HK$14,710 depending on post applied for"/>
    <d v="2099-12-31T23:59:00"/>
    <n v="0"/>
    <m/>
    <n v="14710"/>
    <b v="1"/>
    <x v="0"/>
  </r>
  <r>
    <s v="Dental Officer"/>
    <s v="Department of Health"/>
    <s v="Master Pay Scale Point 30 (HK$71,010 per month) to Master Pay Scale Point 44 (HK$119,650 per month) [See Note (1)]"/>
    <d v="2099-12-31T23:59:00"/>
    <n v="0"/>
    <m/>
    <n v="119650"/>
    <b v="1"/>
    <x v="0"/>
  </r>
  <r>
    <s v="Dental Hygienist"/>
    <s v="Department of Health"/>
    <s v="Master Pay Scale Point 5 (HK$19,535 per month) to Master Pay Scale Point 19 (HK$42,640 per month) [See Note (1)]"/>
    <d v="2099-12-31T23:59:00"/>
    <n v="0"/>
    <m/>
    <n v="42640"/>
    <b v="1"/>
    <x v="0"/>
  </r>
  <r>
    <s v="Police Constable"/>
    <s v="Hong Kong Police Force"/>
    <s v="Police Pay Scale Point 4 ($28,940) to Police Pay Scale Point 17 ($42,390) (Note 1) per month"/>
    <d v="2099-12-31T23:59:00"/>
    <n v="0"/>
    <m/>
    <n v="42390"/>
    <b v="1"/>
    <x v="0"/>
  </r>
  <r>
    <s v="Police Inspector"/>
    <s v="Hong Kong Police Force"/>
    <s v="Police Pay Scale Point 24 ($52,015) (as commensurate with respective entry qualifications) to Police Pay Scale Point 43 ($99,500) (Note 1) per month"/>
    <d v="2099-12-31T23:59:00"/>
    <n v="0"/>
    <m/>
    <n v="99500"/>
    <b v="1"/>
    <x v="0"/>
  </r>
  <r>
    <s v="Contract Doctor"/>
    <s v="Department of Health"/>
    <s v="Monthly salary at HK$71,010 - HK$101,775 depending on relevant qualification and experience, plus end-of-contract gratuity.  "/>
    <d v="2099-12-31T23:59:00"/>
    <n v="0"/>
    <m/>
    <n v="101775"/>
    <b v="1"/>
    <x v="0"/>
  </r>
  <r>
    <s v="Contract Senior Doctor (Infection Control)"/>
    <s v="Department of Health"/>
    <s v="Monthly salary at HK$137,085 plus end-of-contract gratuity."/>
    <d v="2099-12-31T23:59:00"/>
    <n v="0"/>
    <m/>
    <n v="137085"/>
    <b v="1"/>
    <x v="0"/>
  </r>
  <r>
    <s v="Contract Senior Doctor (Communicable Disease Branch)"/>
    <s v="Department of Health"/>
    <s v="Monthly salary at HK$137,085 plus end-of-contract gratuity."/>
    <d v="2099-12-31T23:59:00"/>
    <n v="0"/>
    <m/>
    <n v="137085"/>
    <b v="1"/>
    <x v="0"/>
  </r>
  <r>
    <s v="Registered Nurse"/>
    <s v="Department of Health"/>
    <s v="Master Pay Scale Point 15 ($35,080 per month) to Master Pay Scale Point 25 ($56,450 per month)"/>
    <d v="2099-12-31T23:59:00"/>
    <n v="0"/>
    <m/>
    <n v="56450"/>
    <b v="1"/>
    <x v="0"/>
  </r>
  <r>
    <s v="Medical and Health Officer"/>
    <s v="Department of Health"/>
    <s v="Master Pay Scale Point 32 ($77,855) to Master Pay Scale Point 44B ($132,275) per month (See Notes (1)&amp;(2))."/>
    <d v="2099-12-31T23:59:00"/>
    <n v="0"/>
    <m/>
    <n v="132275"/>
    <b v="1"/>
    <x v="0"/>
  </r>
  <r>
    <s v="Contract Clinician (Social Hygiene Service)"/>
    <s v="Department of Health"/>
    <s v="Monthly salary at HK$101,775, plus 15% end-of-contract gratuity"/>
    <d v="2099-12-31T23:59:00"/>
    <n v="3"/>
    <m/>
    <n v="101775"/>
    <b v="1"/>
    <x v="1"/>
  </r>
  <r>
    <s v="Contract Clinician (Child Assessment Service)"/>
    <s v="Department of Health"/>
    <s v="Monthly salary at HK$101,775, plus 15% end-of-contract gratuity.  "/>
    <d v="2099-12-31T23:59:00"/>
    <n v="3"/>
    <m/>
    <n v="101775"/>
    <b v="1"/>
    <x v="1"/>
  </r>
  <r>
    <s v="Contract Clinician (Tuberculosis and Chest Service)"/>
    <s v="Department of Health"/>
    <s v="Monthly salary at HK$101,775, plus 15% end-of-contract gratuity.  "/>
    <d v="2099-12-31T23:59:00"/>
    <n v="3"/>
    <m/>
    <n v="101775"/>
    <b v="1"/>
    <x v="1"/>
  </r>
  <r>
    <s v="Artisan"/>
    <s v="Agriculture, Fisheries and Conservation Department"/>
    <s v="Master Pay Scale Point 5 ($19,535) to Master Pay Scale Point 8 ($23,585) per month"/>
    <d v="2099-12-31T23:59:00"/>
    <n v="3"/>
    <m/>
    <n v="23585"/>
    <b v="1"/>
    <x v="1"/>
  </r>
  <r>
    <s v="Station Officer (Operational)"/>
    <s v="Fire Services Department"/>
    <s v="Disciplined Services (Officer) Pay Scale Point 8 ($48,335) per month to Disciplined Services (Officer) Pay Scale Point 27 [Note (a)]($99,500) per month."/>
    <d v="2099-12-31T23:59:00"/>
    <n v="0"/>
    <m/>
    <n v="99500"/>
    <b v="1"/>
    <x v="0"/>
  </r>
  <r>
    <s v="Customs Officer"/>
    <s v="Customs and Excise Department"/>
    <s v="Disciplined Services (Rank and File) Pay Scale Point 5 (HKD$25,470 per month) to Disciplined Services (Rank and File) Pay Scale Point 16 (HKD$36,270 per month)"/>
    <d v="2099-12-31T23:59:00"/>
    <n v="0"/>
    <m/>
    <n v="36270"/>
    <b v="1"/>
    <x v="0"/>
  </r>
  <r>
    <s v="Assistant Clerical Officer"/>
    <s v="Various Government Bureaux and Departments"/>
    <s v="Master Pay Scale Point 3 (HK$17,200 per month) to Master Pay Scale Point 15 (HK$35,080 per month)"/>
    <d v="2099-12-31T23:59:00"/>
    <n v="0"/>
    <m/>
    <n v="35080"/>
    <b v="1"/>
    <x v="0"/>
  </r>
  <r>
    <s v="Clerical Assistant"/>
    <s v="Various Government Bureaux and Departments"/>
    <s v="Master Pay Scale Point 1 (HK$15,180 per month) to Master Pay Scale Point 10 (HK$26,590 per month)."/>
    <d v="2099-12-31T23:59:00"/>
    <n v="0"/>
    <m/>
    <n v="26590"/>
    <b v="1"/>
    <x v="0"/>
  </r>
  <r>
    <s v="Personal Secretary II"/>
    <s v="Various Government Bureaux and Departments"/>
    <s v="Master Pay Scale Point 4 (HK$18,305 per month) to Master Pay Scale Point 15 (HK$35,080 per month)."/>
    <d v="2099-12-31T23:59:00"/>
    <n v="0"/>
    <m/>
    <n v="35080"/>
    <b v="1"/>
    <x v="0"/>
  </r>
  <r>
    <s v="Project Coordinator "/>
    <s v="Home Affairs Department"/>
    <s v="$18,200 per month"/>
    <d v="2026-04-28T17:00:00"/>
    <n v="0"/>
    <m/>
    <n v="18200"/>
    <b v="1"/>
    <x v="0"/>
  </r>
  <r>
    <s v="Summer Intern (Hong Kong Public Libraries) â€“ Post-Secondary Student Summer Internship Programme 2026"/>
    <s v="Leisure and Cultural Services Department"/>
    <s v="$11,500 per month"/>
    <d v="2026-04-30T18:00:00"/>
    <n v="0"/>
    <m/>
    <n v="11500"/>
    <b v="1"/>
    <x v="0"/>
  </r>
  <r>
    <s v="Estate Surveyor"/>
    <s v="Lands Department"/>
    <s v="Master Pay Scale Point 30 (HK$71,010 per month) to Master Pay Scale Point 44 (HK$119,650 per month)"/>
    <d v="2026-05-04T23:59:00"/>
    <n v="1"/>
    <m/>
    <n v="119650"/>
    <b v="1"/>
    <x v="0"/>
  </r>
  <r>
    <s v="Summer Intern"/>
    <s v="Home Affairs Department"/>
    <s v="$11,500 per month"/>
    <d v="2026-05-05T17:00:00"/>
    <n v="0"/>
    <m/>
    <n v="11500"/>
    <b v="1"/>
    <x v="0"/>
  </r>
  <r>
    <s v="Post-Secondary Student Summer Internship Programme 2026 - Leisure Services Branch"/>
    <s v="Leisure and Cultural Services Department"/>
    <s v="$11,500 per month"/>
    <d v="2026-04-23T18:00:00"/>
    <n v="0"/>
    <m/>
    <n v="11500"/>
    <b v="1"/>
    <x v="0"/>
  </r>
  <r>
    <s v="Assistant Research Officer"/>
    <s v="Electrical and Mechanical Services Department"/>
    <s v="HK$35,800 - HK$44,415 per month"/>
    <d v="2026-04-23T23:59:00"/>
    <n v="1"/>
    <m/>
    <n v="44415"/>
    <b v="1"/>
    <x v="0"/>
  </r>
  <r>
    <s v="Analytical Testing Technician"/>
    <s v="Environmental Protection Department"/>
    <s v="HK$19,120 per month"/>
    <d v="2026-04-24T18:00:00"/>
    <n v="0"/>
    <m/>
    <n v="19120"/>
    <b v="1"/>
    <x v="0"/>
  </r>
  <r>
    <s v="Immigration Assistant"/>
    <s v="Immigration Department"/>
    <s v="Disciplined Services (Rank and File) Pay Scale Point 4a (HK$25,115) to Disciplined Services (Rank and File) Pay Scale Point 15 (HK$35,255) per month"/>
    <d v="2099-12-31T23:59:00"/>
    <n v="0"/>
    <m/>
    <n v="35255"/>
    <b v="1"/>
    <x v="0"/>
  </r>
  <r>
    <s v="Assistant Accounting Manager"/>
    <s v="Food and Environmental Hygiene Department"/>
    <s v="HK$33,405 per month"/>
    <d v="2026-04-24T23:59:00"/>
    <n v="3"/>
    <m/>
    <n v="33405"/>
    <b v="1"/>
    <x v="1"/>
  </r>
  <r>
    <s v="Curriculum Officer (Gifted Education) (EDB/EI/105/26)"/>
    <s v="Education Bureau"/>
    <s v="$82,330 per month"/>
    <d v="2026-04-24T23:59:00"/>
    <n v="6"/>
    <m/>
    <n v="82330"/>
    <b v="1"/>
    <x v="2"/>
  </r>
  <r>
    <s v="Contract Solicitor"/>
    <s v="Companies Registry"/>
    <s v="HK$74,345 to HK$97,575 per month (depending on post-qualification experience)"/>
    <d v="2026-04-23T23:59:00"/>
    <n v="2"/>
    <m/>
    <n v="97575"/>
    <b v="1"/>
    <x v="0"/>
  </r>
  <r>
    <s v="Curriculum Officer [School-based Curriculum Development (Secondary)] (EDB/ITE/107/26)_x000d__x000a_"/>
    <s v="Education Bureau"/>
    <s v="$82,330 per month"/>
    <d v="2026-04-24T23:59:00"/>
    <n v="6"/>
    <m/>
    <n v="82330"/>
    <b v="1"/>
    <x v="2"/>
  </r>
  <r>
    <s v="Project Assistant (Kindergarten Administration 2) (EDB/KGE/109/26)"/>
    <s v="Education Bureau"/>
    <s v="$35,080 per month"/>
    <d v="2026-04-24T23:59:00"/>
    <n v="6"/>
    <m/>
    <n v="35080"/>
    <b v="1"/>
    <x v="2"/>
  </r>
  <r>
    <s v="Literacy Programme Consultant (Centralised Professional Development) (EDB/CDI/110/26)"/>
    <s v="Education Bureau"/>
    <s v="$82,330 per month"/>
    <d v="2026-04-30T23:59:00"/>
    <n v="6"/>
    <m/>
    <n v="82330"/>
    <b v="1"/>
    <x v="2"/>
  </r>
  <r>
    <s v="Works Supervisor II (Construction)"/>
    <s v="Housing Department"/>
    <s v="Master Pay Scale Point 9 ($25,115 per month) to Master Pay Scale Point 12 ($29,995 per month)"/>
    <d v="2026-04-24T23:59:00"/>
    <n v="0"/>
    <m/>
    <n v="29995"/>
    <b v="1"/>
    <x v="0"/>
  </r>
  <r>
    <s v="Works Supervisor II"/>
    <s v="Correctional Services Department"/>
    <s v="Master Pay Scale Point 9 ($25,115) to Master Pay Scale Point 12 ($29,995) per month."/>
    <d v="2026-04-23T23:59:00"/>
    <n v="5"/>
    <m/>
    <n v="29995"/>
    <b v="1"/>
    <x v="1"/>
  </r>
  <r>
    <s v="Multimedia Designer"/>
    <s v="Census and Statistics Department"/>
    <s v="HK$36,850 per month"/>
    <d v="2026-04-30T23:59:00"/>
    <n v="3"/>
    <m/>
    <n v="36850"/>
    <b v="1"/>
    <x v="1"/>
  </r>
  <r>
    <s v="Foreman"/>
    <s v="Food and Environmental Hygiene Department"/>
    <s v="Master Pay Scale Point 7 ($22,145 per month) to Master Pay Scale Point 11 ($28,225 per month)"/>
    <d v="2026-04-24T23:59:00"/>
    <n v="2"/>
    <m/>
    <n v="28225"/>
    <b v="1"/>
    <x v="0"/>
  </r>
  <r>
    <s v="Senior Vice President, Global Connect"/>
    <s v="Invest Hong Kong"/>
    <s v="HK$67,850 per month"/>
    <d v="2026-04-23T17:00:00"/>
    <n v="5"/>
    <m/>
    <n v="67850"/>
    <b v="1"/>
    <x v="1"/>
  </r>
  <r>
    <s v="Summer Intern (Analytical and Advisory Services Division)"/>
    <s v="Government Laboratory"/>
    <s v="$11,500 per month"/>
    <d v="2026-04-27T23:59:00"/>
    <n v="0"/>
    <m/>
    <n v="11500"/>
    <b v="1"/>
    <x v="0"/>
  </r>
  <r>
    <s v="Summer Intern (Forensic Science Division)"/>
    <s v="Government Laboratory"/>
    <s v="$11,500 per month"/>
    <d v="2026-04-27T23:59:00"/>
    <n v="0"/>
    <m/>
    <n v="11500"/>
    <b v="1"/>
    <x v="0"/>
  </r>
  <r>
    <s v="Training Officer I"/>
    <s v="Civil Service Bureau"/>
    <s v="Master Pay Scale Point 28 ($64,780 per month) to Master Pay Scale Point 33 ($81,510 per month)."/>
    <d v="2026-05-08T23:59:00"/>
    <n v="4"/>
    <m/>
    <n v="81510"/>
    <b v="1"/>
    <x v="1"/>
  </r>
  <r>
    <s v="Statistical Officer II"/>
    <s v="Census and Statistics Department"/>
    <s v="Master Pay Scale Point 8 (HK$23,585 per month) to Master Pay Scale Point 21 (HK$47,010 per month)"/>
    <d v="2026-04-30T23:59:00"/>
    <n v="0"/>
    <m/>
    <n v="47010"/>
    <b v="1"/>
    <x v="0"/>
  </r>
  <r>
    <s v="Senior Artisan (Heavy Crane Driver)"/>
    <s v="Marine Department"/>
    <s v="Master Pay Scale Point 8 ($23,585 per month) to Master Pay Scale Point 10 ($26,590 per month)"/>
    <d v="2026-05-04T23:59:00"/>
    <n v="6"/>
    <m/>
    <n v="26590"/>
    <b v="1"/>
    <x v="2"/>
  </r>
  <r>
    <s v="Post-Secondary Student Summer Internship Programme (Applicants may also be considered under the Vacation Training Scheme funded by the Development Bureau.  Separate application is not required.)"/>
    <s v="Electrical and Mechanical Services Department"/>
    <s v="$11,500 per month"/>
    <d v="2026-05-04T23:59:00"/>
    <n v="0"/>
    <m/>
    <n v="11500"/>
    <b v="1"/>
    <x v="0"/>
  </r>
  <r>
    <s v="Assistant Manager (Digital Transformation)"/>
    <s v="Digital Policy Office"/>
    <s v="$35,200 per month"/>
    <d v="2026-05-04T17:00:00"/>
    <n v="2"/>
    <m/>
    <n v="35200"/>
    <b v="1"/>
    <x v="0"/>
  </r>
  <r>
    <s v="Content Editor/Presenter (TV News and Current Affairs Programme)"/>
    <s v="Radio Television Hong Kong"/>
    <s v="HK$42,640 per month"/>
    <d v="2026-04-29T23:59:00"/>
    <n v="3"/>
    <m/>
    <n v="42640"/>
    <b v="1"/>
    <x v="1"/>
  </r>
  <r>
    <s v="TV Cast Director/ Presenter"/>
    <s v="Radio Television Hong Kong"/>
    <s v="HK$42,640 â€“ HK$49,230 per month, depending on experience"/>
    <d v="2026-04-29T23:59:00"/>
    <n v="2"/>
    <m/>
    <n v="49230"/>
    <b v="1"/>
    <x v="0"/>
  </r>
  <r>
    <s v="Technical Instructor (Precast Concrete)"/>
    <s v="Correctional Services Department"/>
    <s v="Disciplined Services (Officer) Pay Scale Point 5 ($40,495) to Disciplined Services (Officer) Pay Scale Point 15 ($68,720) per month."/>
    <d v="2026-04-30T23:59:00"/>
    <n v="10"/>
    <m/>
    <n v="68720"/>
    <b v="1"/>
    <x v="2"/>
  </r>
  <r>
    <s v="Assistant Curator II (Conservation)"/>
    <s v="Leisure and Cultural Services Department"/>
    <s v="$27,090 per month"/>
    <d v="2026-04-30T23:59:00"/>
    <n v="0"/>
    <m/>
    <n v="27090"/>
    <b v="1"/>
    <x v="0"/>
  </r>
  <r>
    <s v="Land Registration Officer II"/>
    <s v="Land Registry"/>
    <s v="Master Pay Scale Point 10 (HK$26,590 per month) to Master Pay Scale Point 27 (HK$61,865 per month)"/>
    <d v="2026-05-04T23:59:00"/>
    <n v="0"/>
    <m/>
    <n v="61865"/>
    <b v="1"/>
    <x v="0"/>
  </r>
  <r>
    <s v="Dental Surgery Assistant"/>
    <s v="Department of Health"/>
    <s v="Master Pay Scale Point 5 (HK$19,535 per month) to Master Pay Scale Point 17 (HK$38,715 per month)."/>
    <d v="2026-04-30T23:59:00"/>
    <n v="0"/>
    <m/>
    <n v="38715"/>
    <b v="1"/>
    <x v="0"/>
  </r>
  <r>
    <s v="Project Coordinator"/>
    <s v="Home Affairs Department"/>
    <s v="$18,200 per month"/>
    <d v="2026-04-30T23:59:00"/>
    <n v="0"/>
    <m/>
    <n v="18200"/>
    <b v="1"/>
    <x v="0"/>
  </r>
  <r>
    <s v="Vacation Trainee (Building Surveying)"/>
    <s v="Buildings Department"/>
    <s v="HK$11,500 per month"/>
    <d v="2026-04-30T23:59:00"/>
    <n v="0"/>
    <m/>
    <n v="11500"/>
    <b v="1"/>
    <x v="0"/>
  </r>
  <r>
    <s v="Vacation Trainee (Structural Engineering)"/>
    <s v="Buildings Department"/>
    <s v="HK$11,500 per month"/>
    <d v="2026-04-30T23:59:00"/>
    <n v="0"/>
    <m/>
    <n v="11500"/>
    <b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Senior Clinician (Orthodontics)"/>
    <s v="Department of Health"/>
    <s v="Full-time: HK$137,085 per month (plus end-of-contract gratuity) _x000d__x000a_Part-time: HK$780 per hour"/>
    <d v="2099-12-31T23:59:00"/>
    <n v="0"/>
    <m/>
    <n v="137085"/>
    <b v="1"/>
    <x v="0"/>
    <x v="0"/>
  </r>
  <r>
    <s v="Contract Dentist (Orthodontics)"/>
    <s v="Department of Health"/>
    <s v="Full-time: HK$93,255 per month (plus end-of-contract gratuity)_x000d__x000a_Part-time: HK$549 per hour_x000d__x000a__x000d__x000a_"/>
    <d v="2099-12-31T23:59:00"/>
    <n v="0"/>
    <m/>
    <n v="93255"/>
    <b v="1"/>
    <x v="0"/>
    <x v="0"/>
  </r>
  <r>
    <s v="Contract Senior Doctor (Antimicrobial Resistance)"/>
    <s v="Department of Health"/>
    <s v="Monthly salary at HK$137,085 plus end-of-contract gratuity."/>
    <d v="2099-12-31T23:59:00"/>
    <n v="0"/>
    <m/>
    <n v="137085"/>
    <b v="1"/>
    <x v="0"/>
    <x v="0"/>
  </r>
  <r>
    <s v="Temporary Teacher (Government Secondary School)"/>
    <s v="Education Bureau"/>
    <s v="$35,080 per month"/>
    <d v="2099-12-31T23:59:00"/>
    <n v="0"/>
    <m/>
    <n v="35080"/>
    <b v="1"/>
    <x v="0"/>
    <x v="1"/>
  </r>
  <r>
    <s v="Temporary Laboratory Technician II"/>
    <s v="Education Bureau"/>
    <s v="$23,585 per month"/>
    <d v="2099-12-31T23:59:00"/>
    <n v="0"/>
    <m/>
    <n v="23585"/>
    <b v="1"/>
    <x v="0"/>
    <x v="1"/>
  </r>
  <r>
    <s v="Temporary Teacher (Government Primary School)"/>
    <s v="Education Bureau"/>
    <s v="$38,715 per month"/>
    <d v="2099-12-31T23:59:00"/>
    <n v="0"/>
    <m/>
    <n v="38715"/>
    <b v="1"/>
    <x v="0"/>
    <x v="1"/>
  </r>
  <r>
    <s v="Contract Senior Doctor (Private Healthcare Facilities) "/>
    <s v="Department of Health"/>
    <s v="Monthly salary at HK$137,085 plus end-of-contract gratuity."/>
    <d v="2099-12-31T23:59:00"/>
    <n v="0"/>
    <m/>
    <n v="137085"/>
    <b v="1"/>
    <x v="0"/>
    <x v="0"/>
  </r>
  <r>
    <s v="Various posts in Government Secondary and Primary Schools"/>
    <s v="Education Bureau"/>
    <s v="Monthly salary start at HK$14,710 depending on post applied for"/>
    <d v="2099-12-31T23:59:00"/>
    <n v="0"/>
    <m/>
    <n v="14710"/>
    <b v="1"/>
    <x v="0"/>
    <x v="1"/>
  </r>
  <r>
    <s v="Dental Officer"/>
    <s v="Department of Health"/>
    <s v="Master Pay Scale Point 30 (HK$71,010 per month) to Master Pay Scale Point 44 (HK$119,650 per month) [See Note (1)]"/>
    <d v="2099-12-31T23:59:00"/>
    <n v="0"/>
    <m/>
    <n v="119650"/>
    <b v="1"/>
    <x v="0"/>
    <x v="0"/>
  </r>
  <r>
    <s v="Dental Hygienist"/>
    <s v="Department of Health"/>
    <s v="Master Pay Scale Point 5 (HK$19,535 per month) to Master Pay Scale Point 19 (HK$42,640 per month) [See Note (1)]"/>
    <d v="2099-12-31T23:59:00"/>
    <n v="0"/>
    <m/>
    <n v="42640"/>
    <b v="1"/>
    <x v="0"/>
    <x v="1"/>
  </r>
  <r>
    <s v="Police Constable"/>
    <s v="Hong Kong Police Force"/>
    <s v="Police Pay Scale Point 4 ($28,940) to Police Pay Scale Point 17 ($42,390) (Note 1) per month"/>
    <d v="2099-12-31T23:59:00"/>
    <n v="0"/>
    <m/>
    <n v="42390"/>
    <b v="1"/>
    <x v="0"/>
    <x v="1"/>
  </r>
  <r>
    <s v="Police Inspector"/>
    <s v="Hong Kong Police Force"/>
    <s v="Police Pay Scale Point 24 ($52,015) (as commensurate with respective entry qualifications) to Police Pay Scale Point 43 ($99,500) (Note 1) per month"/>
    <d v="2099-12-31T23:59:00"/>
    <n v="0"/>
    <m/>
    <n v="99500"/>
    <b v="1"/>
    <x v="0"/>
    <x v="0"/>
  </r>
  <r>
    <s v="Contract Doctor"/>
    <s v="Department of Health"/>
    <s v="Monthly salary at HK$71,010 - HK$101,775 depending on relevant qualification and experience, plus end-of-contract gratuity.  "/>
    <d v="2099-12-31T23:59:00"/>
    <n v="0"/>
    <m/>
    <n v="101775"/>
    <b v="1"/>
    <x v="0"/>
    <x v="0"/>
  </r>
  <r>
    <s v="Contract Senior Doctor (Infection Control)"/>
    <s v="Department of Health"/>
    <s v="Monthly salary at HK$137,085 plus end-of-contract gratuity."/>
    <d v="2099-12-31T23:59:00"/>
    <n v="0"/>
    <m/>
    <n v="137085"/>
    <b v="1"/>
    <x v="0"/>
    <x v="0"/>
  </r>
  <r>
    <s v="Contract Senior Doctor (Communicable Disease Branch)"/>
    <s v="Department of Health"/>
    <s v="Monthly salary at HK$137,085 plus end-of-contract gratuity."/>
    <d v="2099-12-31T23:59:00"/>
    <n v="0"/>
    <m/>
    <n v="137085"/>
    <b v="1"/>
    <x v="0"/>
    <x v="0"/>
  </r>
  <r>
    <s v="Registered Nurse"/>
    <s v="Department of Health"/>
    <s v="Master Pay Scale Point 15 ($35,080 per month) to Master Pay Scale Point 25 ($56,450 per month)"/>
    <d v="2099-12-31T23:59:00"/>
    <n v="0"/>
    <m/>
    <n v="56450"/>
    <b v="1"/>
    <x v="0"/>
    <x v="1"/>
  </r>
  <r>
    <s v="Medical and Health Officer"/>
    <s v="Department of Health"/>
    <s v="Master Pay Scale Point 32 ($77,855) to Master Pay Scale Point 44B ($132,275) per month (See Notes (1)&amp;(2))."/>
    <d v="2099-12-31T23:59:00"/>
    <n v="0"/>
    <m/>
    <n v="132275"/>
    <b v="1"/>
    <x v="0"/>
    <x v="0"/>
  </r>
  <r>
    <s v="Contract Clinician (Social Hygiene Service)"/>
    <s v="Department of Health"/>
    <s v="Monthly salary at HK$101,775, plus 15% end-of-contract gratuity"/>
    <d v="2099-12-31T23:59:00"/>
    <n v="3"/>
    <m/>
    <n v="101775"/>
    <b v="1"/>
    <x v="1"/>
    <x v="0"/>
  </r>
  <r>
    <s v="Contract Clinician (Child Assessment Service)"/>
    <s v="Department of Health"/>
    <s v="Monthly salary at HK$101,775, plus 15% end-of-contract gratuity.  "/>
    <d v="2099-12-31T23:59:00"/>
    <n v="3"/>
    <m/>
    <n v="101775"/>
    <b v="1"/>
    <x v="1"/>
    <x v="0"/>
  </r>
  <r>
    <s v="Contract Clinician (Tuberculosis and Chest Service)"/>
    <s v="Department of Health"/>
    <s v="Monthly salary at HK$101,775, plus 15% end-of-contract gratuity.  "/>
    <d v="2099-12-31T23:59:00"/>
    <n v="3"/>
    <m/>
    <n v="101775"/>
    <b v="1"/>
    <x v="1"/>
    <x v="0"/>
  </r>
  <r>
    <s v="Artisan"/>
    <s v="Agriculture, Fisheries and Conservation Department"/>
    <s v="Master Pay Scale Point 5 ($19,535) to Master Pay Scale Point 8 ($23,585) per month"/>
    <d v="2099-12-31T23:59:00"/>
    <n v="3"/>
    <m/>
    <n v="23585"/>
    <b v="1"/>
    <x v="1"/>
    <x v="1"/>
  </r>
  <r>
    <s v="Station Officer (Operational)"/>
    <s v="Fire Services Department"/>
    <s v="Disciplined Services (Officer) Pay Scale Point 8 ($48,335) per month to Disciplined Services (Officer) Pay Scale Point 27 [Note (a)]($99,500) per month."/>
    <d v="2099-12-31T23:59:00"/>
    <n v="0"/>
    <m/>
    <n v="99500"/>
    <b v="1"/>
    <x v="0"/>
    <x v="0"/>
  </r>
  <r>
    <s v="Customs Officer"/>
    <s v="Customs and Excise Department"/>
    <s v="Disciplined Services (Rank and File) Pay Scale Point 5 (HKD$25,470 per month) to Disciplined Services (Rank and File) Pay Scale Point 16 (HKD$36,270 per month)"/>
    <d v="2099-12-31T23:59:00"/>
    <n v="0"/>
    <m/>
    <n v="36270"/>
    <b v="1"/>
    <x v="0"/>
    <x v="1"/>
  </r>
  <r>
    <s v="Assistant Clerical Officer"/>
    <s v="Various Government Bureaux and Departments"/>
    <s v="Master Pay Scale Point 3 (HK$17,200 per month) to Master Pay Scale Point 15 (HK$35,080 per month)"/>
    <d v="2099-12-31T23:59:00"/>
    <n v="0"/>
    <m/>
    <n v="35080"/>
    <b v="1"/>
    <x v="0"/>
    <x v="1"/>
  </r>
  <r>
    <s v="Clerical Assistant"/>
    <s v="Various Government Bureaux and Departments"/>
    <s v="Master Pay Scale Point 1 (HK$15,180 per month) to Master Pay Scale Point 10 (HK$26,590 per month)."/>
    <d v="2099-12-31T23:59:00"/>
    <n v="0"/>
    <m/>
    <n v="26590"/>
    <b v="1"/>
    <x v="0"/>
    <x v="1"/>
  </r>
  <r>
    <s v="Personal Secretary II"/>
    <s v="Various Government Bureaux and Departments"/>
    <s v="Master Pay Scale Point 4 (HK$18,305 per month) to Master Pay Scale Point 15 (HK$35,080 per month)."/>
    <d v="2099-12-31T23:59:00"/>
    <n v="0"/>
    <m/>
    <n v="35080"/>
    <b v="1"/>
    <x v="0"/>
    <x v="1"/>
  </r>
  <r>
    <s v="Project Coordinator "/>
    <s v="Home Affairs Department"/>
    <s v="$18,200 per month"/>
    <d v="2026-04-28T17:00:00"/>
    <n v="0"/>
    <m/>
    <n v="18200"/>
    <b v="1"/>
    <x v="0"/>
    <x v="1"/>
  </r>
  <r>
    <s v="Summer Intern (Hong Kong Public Libraries) â€“ Post-Secondary Student Summer Internship Programme 2026"/>
    <s v="Leisure and Cultural Services Department"/>
    <s v="$11,500 per month"/>
    <d v="2026-04-30T18:00:00"/>
    <n v="0"/>
    <m/>
    <n v="11500"/>
    <b v="1"/>
    <x v="0"/>
    <x v="1"/>
  </r>
  <r>
    <s v="Estate Surveyor"/>
    <s v="Lands Department"/>
    <s v="Master Pay Scale Point 30 (HK$71,010 per month) to Master Pay Scale Point 44 (HK$119,650 per month)"/>
    <d v="2026-05-04T23:59:00"/>
    <n v="1"/>
    <m/>
    <n v="119650"/>
    <b v="1"/>
    <x v="0"/>
    <x v="0"/>
  </r>
  <r>
    <s v="Summer Intern"/>
    <s v="Home Affairs Department"/>
    <s v="$11,500 per month"/>
    <d v="2026-05-05T17:00:00"/>
    <n v="0"/>
    <m/>
    <n v="11500"/>
    <b v="1"/>
    <x v="0"/>
    <x v="1"/>
  </r>
  <r>
    <s v="Post-Secondary Student Summer Internship Programme 2026 - Leisure Services Branch"/>
    <s v="Leisure and Cultural Services Department"/>
    <s v="$11,500 per month"/>
    <d v="2026-04-23T18:00:00"/>
    <n v="0"/>
    <m/>
    <n v="11500"/>
    <b v="1"/>
    <x v="0"/>
    <x v="1"/>
  </r>
  <r>
    <s v="Assistant Research Officer"/>
    <s v="Electrical and Mechanical Services Department"/>
    <s v="HK$35,800 - HK$44,415 per month"/>
    <d v="2026-04-23T23:59:00"/>
    <n v="1"/>
    <m/>
    <n v="44415"/>
    <b v="1"/>
    <x v="0"/>
    <x v="1"/>
  </r>
  <r>
    <s v="Analytical Testing Technician"/>
    <s v="Environmental Protection Department"/>
    <s v="HK$19,120 per month"/>
    <d v="2026-04-24T18:00:00"/>
    <n v="0"/>
    <m/>
    <n v="19120"/>
    <b v="1"/>
    <x v="0"/>
    <x v="1"/>
  </r>
  <r>
    <s v="Immigration Assistant"/>
    <s v="Immigration Department"/>
    <s v="Disciplined Services (Rank and File) Pay Scale Point 4a (HK$25,115) to Disciplined Services (Rank and File) Pay Scale Point 15 (HK$35,255) per month"/>
    <d v="2099-12-31T23:59:00"/>
    <n v="0"/>
    <m/>
    <n v="35255"/>
    <b v="1"/>
    <x v="0"/>
    <x v="1"/>
  </r>
  <r>
    <s v="Assistant Accounting Manager"/>
    <s v="Food and Environmental Hygiene Department"/>
    <s v="HK$33,405 per month"/>
    <d v="2026-04-24T23:59:00"/>
    <n v="3"/>
    <m/>
    <n v="33405"/>
    <b v="1"/>
    <x v="1"/>
    <x v="1"/>
  </r>
  <r>
    <s v="Curriculum Officer (Gifted Education) (EDB/EI/105/26)"/>
    <s v="Education Bureau"/>
    <s v="$82,330 per month"/>
    <d v="2026-04-24T23:59:00"/>
    <n v="6"/>
    <m/>
    <n v="82330"/>
    <b v="1"/>
    <x v="2"/>
    <x v="0"/>
  </r>
  <r>
    <s v="Contract Solicitor"/>
    <s v="Companies Registry"/>
    <s v="HK$74,345 to HK$97,575 per month (depending on post-qualification experience)"/>
    <d v="2026-04-23T23:59:00"/>
    <n v="2"/>
    <m/>
    <n v="97575"/>
    <b v="1"/>
    <x v="0"/>
    <x v="0"/>
  </r>
  <r>
    <s v="Curriculum Officer [School-based Curriculum Development (Secondary)] (EDB/ITE/107/26)_x000d__x000a_"/>
    <s v="Education Bureau"/>
    <s v="$82,330 per month"/>
    <d v="2026-04-24T23:59:00"/>
    <n v="6"/>
    <m/>
    <n v="82330"/>
    <b v="1"/>
    <x v="2"/>
    <x v="0"/>
  </r>
  <r>
    <s v="Project Assistant (Kindergarten Administration 2) (EDB/KGE/109/26)"/>
    <s v="Education Bureau"/>
    <s v="$35,080 per month"/>
    <d v="2026-04-24T23:59:00"/>
    <n v="6"/>
    <m/>
    <n v="35080"/>
    <b v="1"/>
    <x v="2"/>
    <x v="1"/>
  </r>
  <r>
    <s v="Literacy Programme Consultant (Centralised Professional Development) (EDB/CDI/110/26)"/>
    <s v="Education Bureau"/>
    <s v="$82,330 per month"/>
    <d v="2026-04-30T23:59:00"/>
    <n v="6"/>
    <m/>
    <n v="82330"/>
    <b v="1"/>
    <x v="2"/>
    <x v="0"/>
  </r>
  <r>
    <s v="Works Supervisor II (Construction)"/>
    <s v="Housing Department"/>
    <s v="Master Pay Scale Point 9 ($25,115 per month) to Master Pay Scale Point 12 ($29,995 per month)"/>
    <d v="2026-04-24T23:59:00"/>
    <n v="0"/>
    <m/>
    <n v="29995"/>
    <b v="1"/>
    <x v="0"/>
    <x v="1"/>
  </r>
  <r>
    <s v="Works Supervisor II"/>
    <s v="Correctional Services Department"/>
    <s v="Master Pay Scale Point 9 ($25,115) to Master Pay Scale Point 12 ($29,995) per month."/>
    <d v="2026-04-23T23:59:00"/>
    <n v="5"/>
    <m/>
    <n v="29995"/>
    <b v="1"/>
    <x v="1"/>
    <x v="1"/>
  </r>
  <r>
    <s v="Multimedia Designer"/>
    <s v="Census and Statistics Department"/>
    <s v="HK$36,850 per month"/>
    <d v="2026-04-30T23:59:00"/>
    <n v="3"/>
    <m/>
    <n v="36850"/>
    <b v="1"/>
    <x v="1"/>
    <x v="1"/>
  </r>
  <r>
    <s v="Foreman"/>
    <s v="Food and Environmental Hygiene Department"/>
    <s v="Master Pay Scale Point 7 ($22,145 per month) to Master Pay Scale Point 11 ($28,225 per month)"/>
    <d v="2026-04-24T23:59:00"/>
    <n v="2"/>
    <m/>
    <n v="28225"/>
    <b v="1"/>
    <x v="0"/>
    <x v="1"/>
  </r>
  <r>
    <s v="Senior Vice President, Global Connect"/>
    <s v="Invest Hong Kong"/>
    <s v="HK$67,850 per month"/>
    <d v="2026-04-23T17:00:00"/>
    <n v="5"/>
    <m/>
    <n v="67850"/>
    <b v="1"/>
    <x v="1"/>
    <x v="0"/>
  </r>
  <r>
    <s v="Summer Intern (Analytical and Advisory Services Division)"/>
    <s v="Government Laboratory"/>
    <s v="$11,500 per month"/>
    <d v="2026-04-27T23:59:00"/>
    <n v="0"/>
    <m/>
    <n v="11500"/>
    <b v="1"/>
    <x v="0"/>
    <x v="1"/>
  </r>
  <r>
    <s v="Summer Intern (Forensic Science Division)"/>
    <s v="Government Laboratory"/>
    <s v="$11,500 per month"/>
    <d v="2026-04-27T23:59:00"/>
    <n v="0"/>
    <m/>
    <n v="11500"/>
    <b v="1"/>
    <x v="0"/>
    <x v="1"/>
  </r>
  <r>
    <s v="Training Officer I"/>
    <s v="Civil Service Bureau"/>
    <s v="Master Pay Scale Point 28 ($64,780 per month) to Master Pay Scale Point 33 ($81,510 per month)."/>
    <d v="2026-05-08T23:59:00"/>
    <n v="4"/>
    <m/>
    <n v="81510"/>
    <b v="1"/>
    <x v="1"/>
    <x v="0"/>
  </r>
  <r>
    <s v="Statistical Officer II"/>
    <s v="Census and Statistics Department"/>
    <s v="Master Pay Scale Point 8 (HK$23,585 per month) to Master Pay Scale Point 21 (HK$47,010 per month)"/>
    <d v="2026-04-30T23:59:00"/>
    <n v="0"/>
    <m/>
    <n v="47010"/>
    <b v="1"/>
    <x v="0"/>
    <x v="1"/>
  </r>
  <r>
    <s v="Senior Artisan (Heavy Crane Driver)"/>
    <s v="Marine Department"/>
    <s v="Master Pay Scale Point 8 ($23,585 per month) to Master Pay Scale Point 10 ($26,590 per month)"/>
    <d v="2026-05-04T23:59:00"/>
    <n v="6"/>
    <m/>
    <n v="26590"/>
    <b v="1"/>
    <x v="2"/>
    <x v="1"/>
  </r>
  <r>
    <s v="Post-Secondary Student Summer Internship Programme (Applicants may also be considered under the Vacation Training Scheme funded by the Development Bureau.  Separate application is not required.)"/>
    <s v="Electrical and Mechanical Services Department"/>
    <s v="$11,500 per month"/>
    <d v="2026-05-04T23:59:00"/>
    <n v="0"/>
    <m/>
    <n v="11500"/>
    <b v="1"/>
    <x v="0"/>
    <x v="1"/>
  </r>
  <r>
    <s v="Assistant Manager (Digital Transformation)"/>
    <s v="Digital Policy Office"/>
    <s v="$35,200 per month"/>
    <d v="2026-05-04T17:00:00"/>
    <n v="2"/>
    <m/>
    <n v="35200"/>
    <b v="1"/>
    <x v="0"/>
    <x v="1"/>
  </r>
  <r>
    <s v="Content Editor/Presenter (TV News and Current Affairs Programme)"/>
    <s v="Radio Television Hong Kong"/>
    <s v="HK$42,640 per month"/>
    <d v="2026-04-29T23:59:00"/>
    <n v="3"/>
    <m/>
    <n v="42640"/>
    <b v="1"/>
    <x v="1"/>
    <x v="1"/>
  </r>
  <r>
    <s v="TV Cast Director/ Presenter"/>
    <s v="Radio Television Hong Kong"/>
    <s v="HK$42,640 â€“ HK$49,230 per month, depending on experience"/>
    <d v="2026-04-29T23:59:00"/>
    <n v="2"/>
    <m/>
    <n v="49230"/>
    <b v="1"/>
    <x v="0"/>
    <x v="1"/>
  </r>
  <r>
    <s v="Technical Instructor (Precast Concrete)"/>
    <s v="Correctional Services Department"/>
    <s v="Disciplined Services (Officer) Pay Scale Point 5 ($40,495) to Disciplined Services (Officer) Pay Scale Point 15 ($68,720) per month."/>
    <d v="2026-04-30T23:59:00"/>
    <n v="10"/>
    <m/>
    <n v="68720"/>
    <b v="1"/>
    <x v="2"/>
    <x v="0"/>
  </r>
  <r>
    <s v="Assistant Curator II (Conservation)"/>
    <s v="Leisure and Cultural Services Department"/>
    <s v="$27,090 per month"/>
    <d v="2026-04-30T23:59:00"/>
    <n v="0"/>
    <m/>
    <n v="27090"/>
    <b v="1"/>
    <x v="0"/>
    <x v="1"/>
  </r>
  <r>
    <s v="Land Registration Officer II"/>
    <s v="Land Registry"/>
    <s v="Master Pay Scale Point 10 (HK$26,590 per month) to Master Pay Scale Point 27 (HK$61,865 per month)"/>
    <d v="2026-05-04T23:59:00"/>
    <n v="0"/>
    <m/>
    <n v="61865"/>
    <b v="1"/>
    <x v="0"/>
    <x v="0"/>
  </r>
  <r>
    <s v="Dental Surgery Assistant"/>
    <s v="Department of Health"/>
    <s v="Master Pay Scale Point 5 (HK$19,535 per month) to Master Pay Scale Point 17 (HK$38,715 per month)."/>
    <d v="2026-04-30T23:59:00"/>
    <n v="0"/>
    <m/>
    <n v="38715"/>
    <b v="1"/>
    <x v="0"/>
    <x v="1"/>
  </r>
  <r>
    <s v="Project Coordinator"/>
    <s v="Home Affairs Department"/>
    <s v="$18,200 per month"/>
    <d v="2026-04-30T23:59:00"/>
    <n v="0"/>
    <m/>
    <n v="18200"/>
    <b v="1"/>
    <x v="0"/>
    <x v="1"/>
  </r>
  <r>
    <s v="Vacation Trainee (Building Surveying)"/>
    <s v="Buildings Department"/>
    <s v="HK$11,500 per month"/>
    <d v="2026-04-30T23:59:00"/>
    <n v="0"/>
    <m/>
    <n v="11500"/>
    <b v="1"/>
    <x v="0"/>
    <x v="1"/>
  </r>
  <r>
    <s v="Vacation Trainee (Structural Engineering)"/>
    <s v="Buildings Department"/>
    <s v="HK$11,500 per month"/>
    <d v="2026-04-30T23:59:00"/>
    <n v="0"/>
    <m/>
    <n v="11500"/>
    <b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39222-C841-47FF-AE9F-D0AC3D0AB1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8">
    <pivotField showAll="0"/>
    <pivotField axis="axisRow" showAll="0" measureFilter="1" sortType="descending">
      <items count="27">
        <item x="3"/>
        <item x="25"/>
        <item x="17"/>
        <item x="20"/>
        <item x="14"/>
        <item x="16"/>
        <item x="5"/>
        <item x="0"/>
        <item x="22"/>
        <item x="1"/>
        <item x="10"/>
        <item x="11"/>
        <item x="4"/>
        <item x="13"/>
        <item x="19"/>
        <item x="7"/>
        <item x="2"/>
        <item x="15"/>
        <item x="12"/>
        <item x="18"/>
        <item x="24"/>
        <item x="9"/>
        <item x="8"/>
        <item x="21"/>
        <item x="2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showAll="0"/>
    <pivotField showAll="0"/>
    <pivotField dataField="1" showAll="0"/>
    <pivotField showAll="0"/>
  </pivotFields>
  <rowFields count="1">
    <field x="1"/>
  </rowFields>
  <rowItems count="11">
    <i>
      <x v="21"/>
    </i>
    <i>
      <x v="7"/>
    </i>
    <i>
      <x v="12"/>
    </i>
    <i>
      <x v="4"/>
    </i>
    <i>
      <x v="3"/>
    </i>
    <i>
      <x v="16"/>
    </i>
    <i>
      <x v="19"/>
    </i>
    <i>
      <x v="20"/>
    </i>
    <i>
      <x v="5"/>
    </i>
    <i>
      <x v="9"/>
    </i>
    <i t="grand">
      <x/>
    </i>
  </rowItems>
  <colItems count="1">
    <i/>
  </colItems>
  <dataFields count="1">
    <dataField name="Average of salary" fld="6" subtotal="average" baseField="1" baseItem="5" numFmtId="42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10">
            <x v="3"/>
            <x v="4"/>
            <x v="5"/>
            <x v="7"/>
            <x v="9"/>
            <x v="12"/>
            <x v="16"/>
            <x v="19"/>
            <x v="20"/>
            <x v="21"/>
          </reference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D0F5A-C854-4EB4-8376-BDCDB63D1FD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8">
    <pivotField showAll="0"/>
    <pivotField showAll="0"/>
    <pivotField showAll="0"/>
    <pivotField numFmtId="22" showAll="0"/>
    <pivotField axis="axisRow" showAll="0">
      <items count="9">
        <item x="0"/>
        <item x="2"/>
        <item x="4"/>
        <item x="1"/>
        <item x="6"/>
        <item x="5"/>
        <item x="3"/>
        <item x="7"/>
        <item t="default"/>
      </items>
    </pivotField>
    <pivotField showAll="0"/>
    <pivotField dataField="1"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alary" fld="6" subtotal="average" baseField="4" baseItem="6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4" type="button" dataOnly="0" labelOnly="1" outline="0" axis="axisRow" fieldPosition="0"/>
    </format>
    <format dxfId="19">
      <pivotArea dataOnly="0" labelOnly="1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D706E-D385-4DD9-BD82-800A3162D1E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9">
    <pivotField showAll="0"/>
    <pivotField showAll="0"/>
    <pivotField showAll="0"/>
    <pivotField numFmtId="22"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6" subtotal="average" baseField="8" baseItem="1" numFmtId="42"/>
  </dataFields>
  <formats count="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8" type="button" dataOnly="0" labelOnly="1" outline="0" axis="axisRow" fieldPosition="0"/>
    </format>
    <format dxfId="13">
      <pivotArea dataOnly="0" labelOnly="1" fieldPosition="0">
        <references count="1">
          <reference field="8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7E840-45D5-4AE5-A64D-77AACE26ECB9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10"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jobname" fld="0" subtotal="count" showDataAs="percentOfRow" baseField="0" baseItem="0" numFmtId="10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9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8" type="button" dataOnly="0" labelOnly="1" outline="0" axis="axisRow" fieldPosition="0"/>
    </format>
    <format dxfId="4">
      <pivotArea dataOnly="0" labelOnly="1" fieldPosition="0">
        <references count="1">
          <reference field="8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Col="1" outline="0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" format="2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63F6-F9E4-4879-BC4F-A65494EAF01B}">
  <dimension ref="A1:K64"/>
  <sheetViews>
    <sheetView workbookViewId="0">
      <selection activeCell="K10" sqref="K10"/>
    </sheetView>
  </sheetViews>
  <sheetFormatPr defaultColWidth="19.42578125" defaultRowHeight="15" x14ac:dyDescent="0.25"/>
  <cols>
    <col min="1" max="1" width="27.42578125" style="5" customWidth="1"/>
    <col min="2" max="2" width="38.85546875" style="5" customWidth="1"/>
    <col min="3" max="3" width="63.140625" style="5" customWidth="1"/>
    <col min="4" max="4" width="19.42578125" style="5"/>
    <col min="5" max="5" width="10.42578125" style="5" bestFit="1" customWidth="1"/>
    <col min="6" max="6" width="8" style="5" bestFit="1" customWidth="1"/>
    <col min="7" max="7" width="8.7109375" style="5" bestFit="1" customWidth="1"/>
    <col min="8" max="10" width="19.42578125" style="5"/>
    <col min="11" max="11" width="25.140625" style="5" bestFit="1" customWidth="1"/>
    <col min="12" max="16384" width="19.42578125" style="5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144</v>
      </c>
      <c r="J1" s="5" t="s">
        <v>148</v>
      </c>
      <c r="K1" s="5" t="s">
        <v>154</v>
      </c>
    </row>
    <row r="2" spans="1:11" x14ac:dyDescent="0.25">
      <c r="A2" s="5" t="s">
        <v>8</v>
      </c>
      <c r="B2" s="5" t="s">
        <v>9</v>
      </c>
      <c r="C2" s="5" t="s">
        <v>10</v>
      </c>
      <c r="D2" s="6">
        <v>73050.999305555553</v>
      </c>
      <c r="E2" s="5">
        <v>0</v>
      </c>
      <c r="G2" s="5">
        <v>137085</v>
      </c>
      <c r="H2" s="5" t="b">
        <v>1</v>
      </c>
      <c r="I2" s="5" t="str">
        <f>IF(E2&lt;=2,"Entry",IF(E2&lt;=5,"Mid","Senior"))</f>
        <v>Entry</v>
      </c>
      <c r="J2" s="5" t="str">
        <f>IF(G2&gt;=60000,"High","Low")</f>
        <v>High</v>
      </c>
      <c r="K2" s="5" t="s">
        <v>155</v>
      </c>
    </row>
    <row r="3" spans="1:11" x14ac:dyDescent="0.25">
      <c r="A3" s="5" t="s">
        <v>11</v>
      </c>
      <c r="B3" s="5" t="s">
        <v>9</v>
      </c>
      <c r="C3" s="5" t="s">
        <v>12</v>
      </c>
      <c r="D3" s="6">
        <v>73050.999305555553</v>
      </c>
      <c r="E3" s="5">
        <v>0</v>
      </c>
      <c r="G3" s="5">
        <v>93255</v>
      </c>
      <c r="H3" s="5" t="b">
        <v>1</v>
      </c>
      <c r="I3" s="5" t="str">
        <f t="shared" ref="I3:I62" si="0">IF(E3&lt;=2,"Entry",IF(E3&lt;=5,"Mid","Senior"))</f>
        <v>Entry</v>
      </c>
      <c r="J3" s="5" t="str">
        <f t="shared" ref="J3:J62" si="1">IF(G3&gt;=60000,"High","Low")</f>
        <v>High</v>
      </c>
      <c r="K3" s="5" t="s">
        <v>155</v>
      </c>
    </row>
    <row r="4" spans="1:11" x14ac:dyDescent="0.25">
      <c r="A4" s="5" t="s">
        <v>13</v>
      </c>
      <c r="B4" s="5" t="s">
        <v>9</v>
      </c>
      <c r="C4" s="5" t="s">
        <v>14</v>
      </c>
      <c r="D4" s="6">
        <v>73050.999305555553</v>
      </c>
      <c r="E4" s="5">
        <v>0</v>
      </c>
      <c r="G4" s="5">
        <v>137085</v>
      </c>
      <c r="H4" s="5" t="b">
        <v>1</v>
      </c>
      <c r="I4" s="5" t="str">
        <f t="shared" si="0"/>
        <v>Entry</v>
      </c>
      <c r="J4" s="5" t="str">
        <f t="shared" si="1"/>
        <v>High</v>
      </c>
      <c r="K4" s="5" t="s">
        <v>155</v>
      </c>
    </row>
    <row r="5" spans="1:11" x14ac:dyDescent="0.25">
      <c r="A5" s="5" t="s">
        <v>15</v>
      </c>
      <c r="B5" s="5" t="s">
        <v>16</v>
      </c>
      <c r="C5" s="5" t="s">
        <v>17</v>
      </c>
      <c r="D5" s="6">
        <v>73050.999305555553</v>
      </c>
      <c r="E5" s="5">
        <v>0</v>
      </c>
      <c r="G5" s="5">
        <v>35080</v>
      </c>
      <c r="H5" s="5" t="b">
        <v>1</v>
      </c>
      <c r="I5" s="5" t="str">
        <f t="shared" si="0"/>
        <v>Entry</v>
      </c>
      <c r="J5" s="5" t="str">
        <f t="shared" si="1"/>
        <v>Low</v>
      </c>
      <c r="K5" s="5" t="s">
        <v>155</v>
      </c>
    </row>
    <row r="6" spans="1:11" x14ac:dyDescent="0.25">
      <c r="A6" s="5" t="s">
        <v>18</v>
      </c>
      <c r="B6" s="5" t="s">
        <v>16</v>
      </c>
      <c r="C6" s="5" t="s">
        <v>19</v>
      </c>
      <c r="D6" s="6">
        <v>73050.999305555553</v>
      </c>
      <c r="E6" s="5">
        <v>0</v>
      </c>
      <c r="G6" s="5">
        <v>23585</v>
      </c>
      <c r="H6" s="5" t="b">
        <v>1</v>
      </c>
      <c r="I6" s="5" t="str">
        <f t="shared" si="0"/>
        <v>Entry</v>
      </c>
      <c r="J6" s="5" t="str">
        <f t="shared" si="1"/>
        <v>Low</v>
      </c>
      <c r="K6" s="5" t="s">
        <v>155</v>
      </c>
    </row>
    <row r="7" spans="1:11" x14ac:dyDescent="0.25">
      <c r="A7" s="5" t="s">
        <v>20</v>
      </c>
      <c r="B7" s="5" t="s">
        <v>16</v>
      </c>
      <c r="C7" s="5" t="s">
        <v>21</v>
      </c>
      <c r="D7" s="6">
        <v>73050.999305555553</v>
      </c>
      <c r="E7" s="5">
        <v>0</v>
      </c>
      <c r="G7" s="5">
        <v>38715</v>
      </c>
      <c r="H7" s="5" t="b">
        <v>1</v>
      </c>
      <c r="I7" s="5" t="str">
        <f t="shared" si="0"/>
        <v>Entry</v>
      </c>
      <c r="J7" s="5" t="str">
        <f t="shared" si="1"/>
        <v>Low</v>
      </c>
      <c r="K7" s="5" t="s">
        <v>155</v>
      </c>
    </row>
    <row r="8" spans="1:11" x14ac:dyDescent="0.25">
      <c r="A8" s="5" t="s">
        <v>22</v>
      </c>
      <c r="B8" s="5" t="s">
        <v>9</v>
      </c>
      <c r="C8" s="5" t="s">
        <v>14</v>
      </c>
      <c r="D8" s="6">
        <v>73050.999305555553</v>
      </c>
      <c r="E8" s="5">
        <v>0</v>
      </c>
      <c r="G8" s="5">
        <v>137085</v>
      </c>
      <c r="H8" s="5" t="b">
        <v>1</v>
      </c>
      <c r="I8" s="5" t="str">
        <f t="shared" si="0"/>
        <v>Entry</v>
      </c>
      <c r="J8" s="5" t="str">
        <f t="shared" si="1"/>
        <v>High</v>
      </c>
      <c r="K8" s="5" t="s">
        <v>155</v>
      </c>
    </row>
    <row r="9" spans="1:11" x14ac:dyDescent="0.25">
      <c r="A9" s="5" t="s">
        <v>23</v>
      </c>
      <c r="B9" s="5" t="s">
        <v>16</v>
      </c>
      <c r="C9" s="5" t="s">
        <v>24</v>
      </c>
      <c r="D9" s="6">
        <v>73050.999305555553</v>
      </c>
      <c r="E9" s="5">
        <v>0</v>
      </c>
      <c r="G9" s="5">
        <v>14710</v>
      </c>
      <c r="H9" s="5" t="b">
        <v>1</v>
      </c>
      <c r="I9" s="5" t="str">
        <f t="shared" si="0"/>
        <v>Entry</v>
      </c>
      <c r="J9" s="5" t="str">
        <f t="shared" si="1"/>
        <v>Low</v>
      </c>
      <c r="K9" s="5" t="s">
        <v>156</v>
      </c>
    </row>
    <row r="10" spans="1:11" x14ac:dyDescent="0.25">
      <c r="A10" s="5" t="s">
        <v>25</v>
      </c>
      <c r="B10" s="5" t="s">
        <v>9</v>
      </c>
      <c r="C10" s="5" t="s">
        <v>26</v>
      </c>
      <c r="D10" s="6">
        <v>73050.999305555553</v>
      </c>
      <c r="E10" s="5">
        <v>0</v>
      </c>
      <c r="G10" s="5">
        <v>119650</v>
      </c>
      <c r="H10" s="5" t="b">
        <v>1</v>
      </c>
      <c r="I10" s="5" t="str">
        <f t="shared" si="0"/>
        <v>Entry</v>
      </c>
      <c r="J10" s="5" t="str">
        <f t="shared" si="1"/>
        <v>High</v>
      </c>
      <c r="K10" s="5" t="s">
        <v>156</v>
      </c>
    </row>
    <row r="11" spans="1:11" x14ac:dyDescent="0.25">
      <c r="A11" s="5" t="s">
        <v>27</v>
      </c>
      <c r="B11" s="5" t="s">
        <v>9</v>
      </c>
      <c r="C11" s="5" t="s">
        <v>28</v>
      </c>
      <c r="D11" s="6">
        <v>73050.999305555553</v>
      </c>
      <c r="E11" s="5">
        <v>0</v>
      </c>
      <c r="G11" s="5">
        <v>42640</v>
      </c>
      <c r="H11" s="5" t="b">
        <v>1</v>
      </c>
      <c r="I11" s="5" t="str">
        <f t="shared" si="0"/>
        <v>Entry</v>
      </c>
      <c r="J11" s="5" t="str">
        <f t="shared" si="1"/>
        <v>Low</v>
      </c>
      <c r="K11" s="5" t="s">
        <v>156</v>
      </c>
    </row>
    <row r="12" spans="1:11" x14ac:dyDescent="0.25">
      <c r="A12" s="5" t="s">
        <v>29</v>
      </c>
      <c r="B12" s="5" t="s">
        <v>30</v>
      </c>
      <c r="C12" s="5" t="s">
        <v>31</v>
      </c>
      <c r="D12" s="6">
        <v>73050.999305555553</v>
      </c>
      <c r="E12" s="5">
        <v>0</v>
      </c>
      <c r="G12" s="5">
        <v>42390</v>
      </c>
      <c r="H12" s="5" t="b">
        <v>1</v>
      </c>
      <c r="I12" s="5" t="str">
        <f t="shared" si="0"/>
        <v>Entry</v>
      </c>
      <c r="J12" s="5" t="str">
        <f t="shared" si="1"/>
        <v>Low</v>
      </c>
      <c r="K12" s="5" t="s">
        <v>156</v>
      </c>
    </row>
    <row r="13" spans="1:11" x14ac:dyDescent="0.25">
      <c r="A13" s="5" t="s">
        <v>32</v>
      </c>
      <c r="B13" s="5" t="s">
        <v>30</v>
      </c>
      <c r="C13" s="5" t="s">
        <v>33</v>
      </c>
      <c r="D13" s="6">
        <v>73050.999305555553</v>
      </c>
      <c r="E13" s="5">
        <v>0</v>
      </c>
      <c r="G13" s="5">
        <v>99500</v>
      </c>
      <c r="H13" s="5" t="b">
        <v>1</v>
      </c>
      <c r="I13" s="5" t="str">
        <f t="shared" si="0"/>
        <v>Entry</v>
      </c>
      <c r="J13" s="5" t="str">
        <f t="shared" si="1"/>
        <v>High</v>
      </c>
      <c r="K13" s="5" t="s">
        <v>156</v>
      </c>
    </row>
    <row r="14" spans="1:11" x14ac:dyDescent="0.25">
      <c r="A14" s="5" t="s">
        <v>34</v>
      </c>
      <c r="B14" s="5" t="s">
        <v>9</v>
      </c>
      <c r="C14" s="5" t="s">
        <v>35</v>
      </c>
      <c r="D14" s="6">
        <v>73050.999305555553</v>
      </c>
      <c r="E14" s="5">
        <v>0</v>
      </c>
      <c r="G14" s="5">
        <v>101775</v>
      </c>
      <c r="H14" s="5" t="b">
        <v>1</v>
      </c>
      <c r="I14" s="5" t="str">
        <f t="shared" si="0"/>
        <v>Entry</v>
      </c>
      <c r="J14" s="5" t="str">
        <f t="shared" si="1"/>
        <v>High</v>
      </c>
      <c r="K14" s="5" t="s">
        <v>155</v>
      </c>
    </row>
    <row r="15" spans="1:11" x14ac:dyDescent="0.25">
      <c r="A15" s="5" t="s">
        <v>36</v>
      </c>
      <c r="B15" s="5" t="s">
        <v>9</v>
      </c>
      <c r="C15" s="5" t="s">
        <v>14</v>
      </c>
      <c r="D15" s="6">
        <v>73050.999305555553</v>
      </c>
      <c r="E15" s="5">
        <v>0</v>
      </c>
      <c r="G15" s="5">
        <v>137085</v>
      </c>
      <c r="H15" s="5" t="b">
        <v>1</v>
      </c>
      <c r="I15" s="5" t="str">
        <f t="shared" si="0"/>
        <v>Entry</v>
      </c>
      <c r="J15" s="5" t="str">
        <f t="shared" si="1"/>
        <v>High</v>
      </c>
      <c r="K15" s="5" t="s">
        <v>155</v>
      </c>
    </row>
    <row r="16" spans="1:11" x14ac:dyDescent="0.25">
      <c r="A16" s="5" t="s">
        <v>37</v>
      </c>
      <c r="B16" s="5" t="s">
        <v>9</v>
      </c>
      <c r="C16" s="5" t="s">
        <v>14</v>
      </c>
      <c r="D16" s="6">
        <v>73050.999305555553</v>
      </c>
      <c r="E16" s="5">
        <v>0</v>
      </c>
      <c r="G16" s="5">
        <v>137085</v>
      </c>
      <c r="H16" s="5" t="b">
        <v>1</v>
      </c>
      <c r="I16" s="5" t="str">
        <f t="shared" si="0"/>
        <v>Entry</v>
      </c>
      <c r="J16" s="5" t="str">
        <f t="shared" si="1"/>
        <v>High</v>
      </c>
      <c r="K16" s="5" t="s">
        <v>155</v>
      </c>
    </row>
    <row r="17" spans="1:11" x14ac:dyDescent="0.25">
      <c r="A17" s="5" t="s">
        <v>38</v>
      </c>
      <c r="B17" s="5" t="s">
        <v>9</v>
      </c>
      <c r="C17" s="5" t="s">
        <v>39</v>
      </c>
      <c r="D17" s="6">
        <v>73050.999305555553</v>
      </c>
      <c r="E17" s="5">
        <v>0</v>
      </c>
      <c r="G17" s="5">
        <v>56450</v>
      </c>
      <c r="H17" s="5" t="b">
        <v>1</v>
      </c>
      <c r="I17" s="5" t="str">
        <f t="shared" si="0"/>
        <v>Entry</v>
      </c>
      <c r="J17" s="5" t="str">
        <f t="shared" si="1"/>
        <v>Low</v>
      </c>
      <c r="K17" s="5" t="s">
        <v>156</v>
      </c>
    </row>
    <row r="18" spans="1:11" x14ac:dyDescent="0.25">
      <c r="A18" s="5" t="s">
        <v>40</v>
      </c>
      <c r="B18" s="5" t="s">
        <v>9</v>
      </c>
      <c r="C18" s="5" t="s">
        <v>41</v>
      </c>
      <c r="D18" s="6">
        <v>73050.999305555553</v>
      </c>
      <c r="E18" s="5">
        <v>0</v>
      </c>
      <c r="G18" s="5">
        <v>132275</v>
      </c>
      <c r="H18" s="5" t="b">
        <v>1</v>
      </c>
      <c r="I18" s="5" t="str">
        <f t="shared" si="0"/>
        <v>Entry</v>
      </c>
      <c r="J18" s="5" t="str">
        <f t="shared" si="1"/>
        <v>High</v>
      </c>
      <c r="K18" s="5" t="s">
        <v>156</v>
      </c>
    </row>
    <row r="19" spans="1:11" x14ac:dyDescent="0.25">
      <c r="A19" s="5" t="s">
        <v>42</v>
      </c>
      <c r="B19" s="5" t="s">
        <v>9</v>
      </c>
      <c r="C19" s="5" t="s">
        <v>43</v>
      </c>
      <c r="D19" s="6">
        <v>73050.999305555553</v>
      </c>
      <c r="E19" s="5">
        <v>3</v>
      </c>
      <c r="G19" s="5">
        <v>101775</v>
      </c>
      <c r="H19" s="5" t="b">
        <v>1</v>
      </c>
      <c r="I19" s="5" t="str">
        <f t="shared" si="0"/>
        <v>Mid</v>
      </c>
      <c r="J19" s="5" t="str">
        <f t="shared" si="1"/>
        <v>High</v>
      </c>
      <c r="K19" s="5" t="s">
        <v>155</v>
      </c>
    </row>
    <row r="20" spans="1:11" x14ac:dyDescent="0.25">
      <c r="A20" s="5" t="s">
        <v>44</v>
      </c>
      <c r="B20" s="5" t="s">
        <v>9</v>
      </c>
      <c r="C20" s="5" t="s">
        <v>45</v>
      </c>
      <c r="D20" s="6">
        <v>73050.999305555553</v>
      </c>
      <c r="E20" s="5">
        <v>3</v>
      </c>
      <c r="G20" s="5">
        <v>101775</v>
      </c>
      <c r="H20" s="5" t="b">
        <v>1</v>
      </c>
      <c r="I20" s="5" t="str">
        <f t="shared" si="0"/>
        <v>Mid</v>
      </c>
      <c r="J20" s="5" t="str">
        <f t="shared" si="1"/>
        <v>High</v>
      </c>
      <c r="K20" s="5" t="s">
        <v>155</v>
      </c>
    </row>
    <row r="21" spans="1:11" x14ac:dyDescent="0.25">
      <c r="A21" s="5" t="s">
        <v>46</v>
      </c>
      <c r="B21" s="5" t="s">
        <v>9</v>
      </c>
      <c r="C21" s="5" t="s">
        <v>45</v>
      </c>
      <c r="D21" s="6">
        <v>73050.999305555553</v>
      </c>
      <c r="E21" s="5">
        <v>3</v>
      </c>
      <c r="G21" s="5">
        <v>101775</v>
      </c>
      <c r="H21" s="5" t="b">
        <v>1</v>
      </c>
      <c r="I21" s="5" t="str">
        <f t="shared" si="0"/>
        <v>Mid</v>
      </c>
      <c r="J21" s="5" t="str">
        <f t="shared" si="1"/>
        <v>High</v>
      </c>
      <c r="K21" s="5" t="s">
        <v>155</v>
      </c>
    </row>
    <row r="22" spans="1:11" x14ac:dyDescent="0.25">
      <c r="A22" s="5" t="s">
        <v>47</v>
      </c>
      <c r="B22" s="5" t="s">
        <v>48</v>
      </c>
      <c r="C22" s="5" t="s">
        <v>49</v>
      </c>
      <c r="D22" s="6">
        <v>73050.999305555553</v>
      </c>
      <c r="E22" s="5">
        <v>3</v>
      </c>
      <c r="G22" s="5">
        <v>23585</v>
      </c>
      <c r="H22" s="5" t="b">
        <v>1</v>
      </c>
      <c r="I22" s="5" t="str">
        <f t="shared" si="0"/>
        <v>Mid</v>
      </c>
      <c r="J22" s="5" t="str">
        <f t="shared" si="1"/>
        <v>Low</v>
      </c>
      <c r="K22" s="5" t="s">
        <v>156</v>
      </c>
    </row>
    <row r="23" spans="1:11" x14ac:dyDescent="0.25">
      <c r="A23" s="5" t="s">
        <v>50</v>
      </c>
      <c r="B23" s="5" t="s">
        <v>51</v>
      </c>
      <c r="C23" s="5" t="s">
        <v>52</v>
      </c>
      <c r="D23" s="6">
        <v>73050.999305555553</v>
      </c>
      <c r="E23" s="5">
        <v>0</v>
      </c>
      <c r="G23" s="5">
        <v>99500</v>
      </c>
      <c r="H23" s="5" t="b">
        <v>1</v>
      </c>
      <c r="I23" s="5" t="str">
        <f t="shared" si="0"/>
        <v>Entry</v>
      </c>
      <c r="J23" s="5" t="str">
        <f t="shared" si="1"/>
        <v>High</v>
      </c>
      <c r="K23" s="5" t="s">
        <v>156</v>
      </c>
    </row>
    <row r="24" spans="1:11" x14ac:dyDescent="0.25">
      <c r="A24" s="5" t="s">
        <v>53</v>
      </c>
      <c r="B24" s="5" t="s">
        <v>54</v>
      </c>
      <c r="C24" s="5" t="s">
        <v>55</v>
      </c>
      <c r="D24" s="6">
        <v>73050.999305555553</v>
      </c>
      <c r="E24" s="5">
        <v>0</v>
      </c>
      <c r="G24" s="5">
        <v>36270</v>
      </c>
      <c r="H24" s="5" t="b">
        <v>1</v>
      </c>
      <c r="I24" s="5" t="str">
        <f t="shared" si="0"/>
        <v>Entry</v>
      </c>
      <c r="J24" s="5" t="str">
        <f t="shared" si="1"/>
        <v>Low</v>
      </c>
      <c r="K24" s="5" t="s">
        <v>156</v>
      </c>
    </row>
    <row r="25" spans="1:11" x14ac:dyDescent="0.25">
      <c r="A25" s="5" t="s">
        <v>56</v>
      </c>
      <c r="B25" s="5" t="s">
        <v>57</v>
      </c>
      <c r="C25" s="5" t="s">
        <v>58</v>
      </c>
      <c r="D25" s="6">
        <v>73050.999305555553</v>
      </c>
      <c r="E25" s="5">
        <v>0</v>
      </c>
      <c r="G25" s="5">
        <v>35080</v>
      </c>
      <c r="H25" s="5" t="b">
        <v>1</v>
      </c>
      <c r="I25" s="5" t="str">
        <f t="shared" si="0"/>
        <v>Entry</v>
      </c>
      <c r="J25" s="5" t="str">
        <f t="shared" si="1"/>
        <v>Low</v>
      </c>
      <c r="K25" s="5" t="s">
        <v>156</v>
      </c>
    </row>
    <row r="26" spans="1:11" x14ac:dyDescent="0.25">
      <c r="A26" s="5" t="s">
        <v>59</v>
      </c>
      <c r="B26" s="5" t="s">
        <v>57</v>
      </c>
      <c r="C26" s="5" t="s">
        <v>60</v>
      </c>
      <c r="D26" s="6">
        <v>73050.999305555553</v>
      </c>
      <c r="E26" s="5">
        <v>0</v>
      </c>
      <c r="G26" s="5">
        <v>26590</v>
      </c>
      <c r="H26" s="5" t="b">
        <v>1</v>
      </c>
      <c r="I26" s="5" t="str">
        <f t="shared" si="0"/>
        <v>Entry</v>
      </c>
      <c r="J26" s="5" t="str">
        <f t="shared" si="1"/>
        <v>Low</v>
      </c>
      <c r="K26" s="5" t="s">
        <v>156</v>
      </c>
    </row>
    <row r="27" spans="1:11" x14ac:dyDescent="0.25">
      <c r="A27" s="5" t="s">
        <v>61</v>
      </c>
      <c r="B27" s="5" t="s">
        <v>57</v>
      </c>
      <c r="C27" s="5" t="s">
        <v>62</v>
      </c>
      <c r="D27" s="6">
        <v>73050.999305555553</v>
      </c>
      <c r="E27" s="5">
        <v>0</v>
      </c>
      <c r="G27" s="5">
        <v>35080</v>
      </c>
      <c r="H27" s="5" t="b">
        <v>1</v>
      </c>
      <c r="I27" s="5" t="str">
        <f t="shared" si="0"/>
        <v>Entry</v>
      </c>
      <c r="J27" s="5" t="str">
        <f t="shared" si="1"/>
        <v>Low</v>
      </c>
      <c r="K27" s="5" t="s">
        <v>156</v>
      </c>
    </row>
    <row r="28" spans="1:11" x14ac:dyDescent="0.25">
      <c r="A28" s="5" t="s">
        <v>63</v>
      </c>
      <c r="B28" s="5" t="s">
        <v>64</v>
      </c>
      <c r="C28" s="5" t="s">
        <v>65</v>
      </c>
      <c r="D28" s="6">
        <v>46140.708333333336</v>
      </c>
      <c r="E28" s="5">
        <v>0</v>
      </c>
      <c r="G28" s="5">
        <v>18200</v>
      </c>
      <c r="H28" s="5" t="b">
        <v>1</v>
      </c>
      <c r="I28" s="5" t="str">
        <f t="shared" si="0"/>
        <v>Entry</v>
      </c>
      <c r="J28" s="5" t="str">
        <f t="shared" si="1"/>
        <v>Low</v>
      </c>
      <c r="K28" s="5" t="s">
        <v>156</v>
      </c>
    </row>
    <row r="29" spans="1:11" x14ac:dyDescent="0.25">
      <c r="A29" s="5" t="s">
        <v>66</v>
      </c>
      <c r="B29" s="5" t="s">
        <v>67</v>
      </c>
      <c r="C29" s="5" t="s">
        <v>68</v>
      </c>
      <c r="D29" s="6">
        <v>46142.75</v>
      </c>
      <c r="E29" s="5">
        <v>0</v>
      </c>
      <c r="G29" s="5">
        <v>11500</v>
      </c>
      <c r="H29" s="5" t="b">
        <v>1</v>
      </c>
      <c r="I29" s="5" t="str">
        <f t="shared" si="0"/>
        <v>Entry</v>
      </c>
      <c r="J29" s="5" t="str">
        <f t="shared" si="1"/>
        <v>Low</v>
      </c>
      <c r="K29" s="5" t="s">
        <v>155</v>
      </c>
    </row>
    <row r="30" spans="1:11" x14ac:dyDescent="0.25">
      <c r="A30" s="5" t="s">
        <v>69</v>
      </c>
      <c r="B30" s="5" t="s">
        <v>70</v>
      </c>
      <c r="C30" s="5" t="s">
        <v>71</v>
      </c>
      <c r="D30" s="6">
        <v>46146.999305555553</v>
      </c>
      <c r="E30" s="5">
        <v>1</v>
      </c>
      <c r="G30" s="5">
        <v>119650</v>
      </c>
      <c r="H30" s="5" t="b">
        <v>1</v>
      </c>
      <c r="I30" s="5" t="str">
        <f t="shared" si="0"/>
        <v>Entry</v>
      </c>
      <c r="J30" s="5" t="str">
        <f t="shared" si="1"/>
        <v>High</v>
      </c>
      <c r="K30" s="5" t="s">
        <v>156</v>
      </c>
    </row>
    <row r="31" spans="1:11" x14ac:dyDescent="0.25">
      <c r="A31" s="5" t="s">
        <v>72</v>
      </c>
      <c r="B31" s="5" t="s">
        <v>64</v>
      </c>
      <c r="C31" s="5" t="s">
        <v>68</v>
      </c>
      <c r="D31" s="6">
        <v>46147.708333333336</v>
      </c>
      <c r="E31" s="5">
        <v>0</v>
      </c>
      <c r="G31" s="5">
        <v>11500</v>
      </c>
      <c r="H31" s="5" t="b">
        <v>1</v>
      </c>
      <c r="I31" s="5" t="str">
        <f t="shared" si="0"/>
        <v>Entry</v>
      </c>
      <c r="J31" s="5" t="str">
        <f t="shared" si="1"/>
        <v>Low</v>
      </c>
      <c r="K31" s="5" t="s">
        <v>155</v>
      </c>
    </row>
    <row r="32" spans="1:11" x14ac:dyDescent="0.25">
      <c r="A32" s="5" t="s">
        <v>73</v>
      </c>
      <c r="B32" s="5" t="s">
        <v>67</v>
      </c>
      <c r="C32" s="5" t="s">
        <v>68</v>
      </c>
      <c r="D32" s="6">
        <v>46135.75</v>
      </c>
      <c r="E32" s="5">
        <v>0</v>
      </c>
      <c r="G32" s="5">
        <v>11500</v>
      </c>
      <c r="H32" s="5" t="b">
        <v>1</v>
      </c>
      <c r="I32" s="5" t="str">
        <f t="shared" si="0"/>
        <v>Entry</v>
      </c>
      <c r="J32" s="5" t="str">
        <f t="shared" si="1"/>
        <v>Low</v>
      </c>
      <c r="K32" s="5" t="s">
        <v>156</v>
      </c>
    </row>
    <row r="33" spans="1:11" x14ac:dyDescent="0.25">
      <c r="A33" s="5" t="s">
        <v>74</v>
      </c>
      <c r="B33" s="5" t="s">
        <v>75</v>
      </c>
      <c r="C33" s="5" t="s">
        <v>76</v>
      </c>
      <c r="D33" s="6">
        <v>46135.999305555553</v>
      </c>
      <c r="E33" s="5">
        <v>1</v>
      </c>
      <c r="G33" s="5">
        <v>44415</v>
      </c>
      <c r="H33" s="5" t="b">
        <v>1</v>
      </c>
      <c r="I33" s="5" t="str">
        <f t="shared" si="0"/>
        <v>Entry</v>
      </c>
      <c r="J33" s="5" t="str">
        <f t="shared" si="1"/>
        <v>Low</v>
      </c>
      <c r="K33" s="5" t="s">
        <v>156</v>
      </c>
    </row>
    <row r="34" spans="1:11" x14ac:dyDescent="0.25">
      <c r="A34" s="5" t="s">
        <v>77</v>
      </c>
      <c r="B34" s="5" t="s">
        <v>78</v>
      </c>
      <c r="C34" s="5" t="s">
        <v>79</v>
      </c>
      <c r="D34" s="6">
        <v>46136.75</v>
      </c>
      <c r="E34" s="5">
        <v>0</v>
      </c>
      <c r="G34" s="5">
        <v>19120</v>
      </c>
      <c r="H34" s="5" t="b">
        <v>1</v>
      </c>
      <c r="I34" s="5" t="str">
        <f t="shared" si="0"/>
        <v>Entry</v>
      </c>
      <c r="J34" s="5" t="str">
        <f t="shared" si="1"/>
        <v>Low</v>
      </c>
      <c r="K34" s="5" t="s">
        <v>156</v>
      </c>
    </row>
    <row r="35" spans="1:11" x14ac:dyDescent="0.25">
      <c r="A35" s="5" t="s">
        <v>80</v>
      </c>
      <c r="B35" s="5" t="s">
        <v>81</v>
      </c>
      <c r="C35" s="5" t="s">
        <v>82</v>
      </c>
      <c r="D35" s="6">
        <v>73050.999305555553</v>
      </c>
      <c r="E35" s="5">
        <v>0</v>
      </c>
      <c r="G35" s="5">
        <v>35255</v>
      </c>
      <c r="H35" s="5" t="b">
        <v>1</v>
      </c>
      <c r="I35" s="5" t="str">
        <f t="shared" si="0"/>
        <v>Entry</v>
      </c>
      <c r="J35" s="5" t="str">
        <f t="shared" si="1"/>
        <v>Low</v>
      </c>
      <c r="K35" s="5" t="s">
        <v>156</v>
      </c>
    </row>
    <row r="36" spans="1:11" x14ac:dyDescent="0.25">
      <c r="A36" s="5" t="s">
        <v>83</v>
      </c>
      <c r="B36" s="5" t="s">
        <v>84</v>
      </c>
      <c r="C36" s="5" t="s">
        <v>85</v>
      </c>
      <c r="D36" s="6">
        <v>46136.999305555553</v>
      </c>
      <c r="E36" s="5">
        <v>3</v>
      </c>
      <c r="G36" s="5">
        <v>33405</v>
      </c>
      <c r="H36" s="5" t="b">
        <v>1</v>
      </c>
      <c r="I36" s="5" t="str">
        <f t="shared" si="0"/>
        <v>Mid</v>
      </c>
      <c r="J36" s="5" t="str">
        <f t="shared" si="1"/>
        <v>Low</v>
      </c>
      <c r="K36" s="5" t="s">
        <v>156</v>
      </c>
    </row>
    <row r="37" spans="1:11" x14ac:dyDescent="0.25">
      <c r="A37" s="5" t="s">
        <v>86</v>
      </c>
      <c r="B37" s="5" t="s">
        <v>16</v>
      </c>
      <c r="C37" s="5" t="s">
        <v>87</v>
      </c>
      <c r="D37" s="6">
        <v>46136.999305555553</v>
      </c>
      <c r="E37" s="5">
        <v>6</v>
      </c>
      <c r="G37" s="5">
        <v>82330</v>
      </c>
      <c r="H37" s="5" t="b">
        <v>1</v>
      </c>
      <c r="I37" s="5" t="str">
        <f t="shared" si="0"/>
        <v>Senior</v>
      </c>
      <c r="J37" s="5" t="str">
        <f t="shared" si="1"/>
        <v>High</v>
      </c>
      <c r="K37" s="5" t="s">
        <v>156</v>
      </c>
    </row>
    <row r="38" spans="1:11" x14ac:dyDescent="0.25">
      <c r="A38" s="5" t="s">
        <v>88</v>
      </c>
      <c r="B38" s="5" t="s">
        <v>89</v>
      </c>
      <c r="C38" s="5" t="s">
        <v>90</v>
      </c>
      <c r="D38" s="6">
        <v>46135.999305555553</v>
      </c>
      <c r="E38" s="5">
        <v>2</v>
      </c>
      <c r="G38" s="5">
        <v>97575</v>
      </c>
      <c r="H38" s="5" t="b">
        <v>1</v>
      </c>
      <c r="I38" s="5" t="str">
        <f t="shared" si="0"/>
        <v>Entry</v>
      </c>
      <c r="J38" s="5" t="str">
        <f t="shared" si="1"/>
        <v>High</v>
      </c>
      <c r="K38" s="5" t="s">
        <v>156</v>
      </c>
    </row>
    <row r="39" spans="1:11" x14ac:dyDescent="0.25">
      <c r="A39" s="5" t="s">
        <v>153</v>
      </c>
      <c r="B39" s="5" t="s">
        <v>16</v>
      </c>
      <c r="C39" s="5" t="s">
        <v>87</v>
      </c>
      <c r="D39" s="6">
        <v>46136.999305555553</v>
      </c>
      <c r="E39" s="5">
        <v>6</v>
      </c>
      <c r="G39" s="5">
        <v>82330</v>
      </c>
      <c r="H39" s="5" t="b">
        <v>1</v>
      </c>
      <c r="I39" s="5" t="str">
        <f t="shared" si="0"/>
        <v>Senior</v>
      </c>
      <c r="J39" s="5" t="str">
        <f t="shared" si="1"/>
        <v>High</v>
      </c>
      <c r="K39" s="5" t="s">
        <v>156</v>
      </c>
    </row>
    <row r="40" spans="1:11" x14ac:dyDescent="0.25">
      <c r="A40" s="5" t="s">
        <v>91</v>
      </c>
      <c r="B40" s="5" t="s">
        <v>16</v>
      </c>
      <c r="C40" s="5" t="s">
        <v>17</v>
      </c>
      <c r="D40" s="6">
        <v>46136.999305555553</v>
      </c>
      <c r="E40" s="5">
        <v>6</v>
      </c>
      <c r="G40" s="5">
        <v>35080</v>
      </c>
      <c r="H40" s="5" t="b">
        <v>1</v>
      </c>
      <c r="I40" s="5" t="str">
        <f t="shared" si="0"/>
        <v>Senior</v>
      </c>
      <c r="J40" s="5" t="str">
        <f t="shared" si="1"/>
        <v>Low</v>
      </c>
      <c r="K40" s="5" t="s">
        <v>156</v>
      </c>
    </row>
    <row r="41" spans="1:11" x14ac:dyDescent="0.25">
      <c r="A41" s="5" t="s">
        <v>92</v>
      </c>
      <c r="B41" s="5" t="s">
        <v>16</v>
      </c>
      <c r="C41" s="5" t="s">
        <v>87</v>
      </c>
      <c r="D41" s="6">
        <v>46142.999305555553</v>
      </c>
      <c r="E41" s="5">
        <v>6</v>
      </c>
      <c r="G41" s="5">
        <v>82330</v>
      </c>
      <c r="H41" s="5" t="b">
        <v>1</v>
      </c>
      <c r="I41" s="5" t="str">
        <f t="shared" si="0"/>
        <v>Senior</v>
      </c>
      <c r="J41" s="5" t="str">
        <f t="shared" si="1"/>
        <v>High</v>
      </c>
      <c r="K41" s="5" t="s">
        <v>156</v>
      </c>
    </row>
    <row r="42" spans="1:11" x14ac:dyDescent="0.25">
      <c r="A42" s="5" t="s">
        <v>93</v>
      </c>
      <c r="B42" s="5" t="s">
        <v>94</v>
      </c>
      <c r="C42" s="5" t="s">
        <v>95</v>
      </c>
      <c r="D42" s="6">
        <v>46136.999305555553</v>
      </c>
      <c r="E42" s="5">
        <v>0</v>
      </c>
      <c r="G42" s="5">
        <v>29995</v>
      </c>
      <c r="H42" s="5" t="b">
        <v>1</v>
      </c>
      <c r="I42" s="5" t="str">
        <f t="shared" si="0"/>
        <v>Entry</v>
      </c>
      <c r="J42" s="5" t="str">
        <f t="shared" si="1"/>
        <v>Low</v>
      </c>
      <c r="K42" s="5" t="s">
        <v>155</v>
      </c>
    </row>
    <row r="43" spans="1:11" x14ac:dyDescent="0.25">
      <c r="A43" s="5" t="s">
        <v>96</v>
      </c>
      <c r="B43" s="5" t="s">
        <v>97</v>
      </c>
      <c r="C43" s="5" t="s">
        <v>98</v>
      </c>
      <c r="D43" s="6">
        <v>46135.999305555553</v>
      </c>
      <c r="E43" s="5">
        <v>5</v>
      </c>
      <c r="G43" s="5">
        <v>29995</v>
      </c>
      <c r="H43" s="5" t="b">
        <v>1</v>
      </c>
      <c r="I43" s="5" t="str">
        <f t="shared" si="0"/>
        <v>Mid</v>
      </c>
      <c r="J43" s="5" t="str">
        <f t="shared" si="1"/>
        <v>Low</v>
      </c>
      <c r="K43" s="5" t="s">
        <v>155</v>
      </c>
    </row>
    <row r="44" spans="1:11" x14ac:dyDescent="0.25">
      <c r="A44" s="5" t="s">
        <v>99</v>
      </c>
      <c r="B44" s="5" t="s">
        <v>100</v>
      </c>
      <c r="C44" s="5" t="s">
        <v>101</v>
      </c>
      <c r="D44" s="6">
        <v>46142.999305555553</v>
      </c>
      <c r="E44" s="5">
        <v>3</v>
      </c>
      <c r="G44" s="5">
        <v>36850</v>
      </c>
      <c r="H44" s="5" t="b">
        <v>1</v>
      </c>
      <c r="I44" s="5" t="str">
        <f t="shared" si="0"/>
        <v>Mid</v>
      </c>
      <c r="J44" s="5" t="str">
        <f t="shared" si="1"/>
        <v>Low</v>
      </c>
      <c r="K44" s="5" t="s">
        <v>155</v>
      </c>
    </row>
    <row r="45" spans="1:11" x14ac:dyDescent="0.25">
      <c r="A45" s="5" t="s">
        <v>102</v>
      </c>
      <c r="B45" s="5" t="s">
        <v>84</v>
      </c>
      <c r="C45" s="5" t="s">
        <v>103</v>
      </c>
      <c r="D45" s="6">
        <v>46136.999305555553</v>
      </c>
      <c r="E45" s="5">
        <v>2</v>
      </c>
      <c r="G45" s="5">
        <v>28225</v>
      </c>
      <c r="H45" s="5" t="b">
        <v>1</v>
      </c>
      <c r="I45" s="5" t="str">
        <f t="shared" si="0"/>
        <v>Entry</v>
      </c>
      <c r="J45" s="5" t="str">
        <f t="shared" si="1"/>
        <v>Low</v>
      </c>
      <c r="K45" s="5" t="s">
        <v>156</v>
      </c>
    </row>
    <row r="46" spans="1:11" x14ac:dyDescent="0.25">
      <c r="A46" s="5" t="s">
        <v>104</v>
      </c>
      <c r="B46" s="5" t="s">
        <v>105</v>
      </c>
      <c r="C46" s="5" t="s">
        <v>106</v>
      </c>
      <c r="D46" s="6">
        <v>46135.708333333336</v>
      </c>
      <c r="E46" s="5">
        <v>5</v>
      </c>
      <c r="G46" s="5">
        <v>67850</v>
      </c>
      <c r="H46" s="5" t="b">
        <v>1</v>
      </c>
      <c r="I46" s="5" t="str">
        <f t="shared" si="0"/>
        <v>Mid</v>
      </c>
      <c r="J46" s="5" t="str">
        <f t="shared" si="1"/>
        <v>High</v>
      </c>
      <c r="K46" s="5" t="s">
        <v>156</v>
      </c>
    </row>
    <row r="47" spans="1:11" x14ac:dyDescent="0.25">
      <c r="A47" s="5" t="s">
        <v>107</v>
      </c>
      <c r="B47" s="5" t="s">
        <v>108</v>
      </c>
      <c r="C47" s="5" t="s">
        <v>68</v>
      </c>
      <c r="D47" s="6">
        <v>46139.999305555553</v>
      </c>
      <c r="E47" s="5">
        <v>0</v>
      </c>
      <c r="G47" s="5">
        <v>11500</v>
      </c>
      <c r="H47" s="5" t="b">
        <v>1</v>
      </c>
      <c r="I47" s="5" t="str">
        <f t="shared" si="0"/>
        <v>Entry</v>
      </c>
      <c r="J47" s="5" t="str">
        <f t="shared" si="1"/>
        <v>Low</v>
      </c>
      <c r="K47" s="5" t="s">
        <v>156</v>
      </c>
    </row>
    <row r="48" spans="1:11" x14ac:dyDescent="0.25">
      <c r="A48" s="5" t="s">
        <v>109</v>
      </c>
      <c r="B48" s="5" t="s">
        <v>108</v>
      </c>
      <c r="C48" s="5" t="s">
        <v>68</v>
      </c>
      <c r="D48" s="6">
        <v>46139.999305555553</v>
      </c>
      <c r="E48" s="5">
        <v>0</v>
      </c>
      <c r="G48" s="5">
        <v>11500</v>
      </c>
      <c r="H48" s="5" t="b">
        <v>1</v>
      </c>
      <c r="I48" s="5" t="str">
        <f t="shared" si="0"/>
        <v>Entry</v>
      </c>
      <c r="J48" s="5" t="str">
        <f t="shared" si="1"/>
        <v>Low</v>
      </c>
      <c r="K48" s="5" t="s">
        <v>156</v>
      </c>
    </row>
    <row r="49" spans="1:11" x14ac:dyDescent="0.25">
      <c r="A49" s="5" t="s">
        <v>110</v>
      </c>
      <c r="B49" s="5" t="s">
        <v>111</v>
      </c>
      <c r="C49" s="5" t="s">
        <v>112</v>
      </c>
      <c r="D49" s="6">
        <v>46150.999305555553</v>
      </c>
      <c r="E49" s="5">
        <v>4</v>
      </c>
      <c r="G49" s="5">
        <v>81510</v>
      </c>
      <c r="H49" s="5" t="b">
        <v>1</v>
      </c>
      <c r="I49" s="5" t="str">
        <f t="shared" si="0"/>
        <v>Mid</v>
      </c>
      <c r="J49" s="5" t="str">
        <f t="shared" si="1"/>
        <v>High</v>
      </c>
      <c r="K49" s="5" t="s">
        <v>155</v>
      </c>
    </row>
    <row r="50" spans="1:11" x14ac:dyDescent="0.25">
      <c r="A50" s="5" t="s">
        <v>113</v>
      </c>
      <c r="B50" s="5" t="s">
        <v>100</v>
      </c>
      <c r="C50" s="5" t="s">
        <v>114</v>
      </c>
      <c r="D50" s="6">
        <v>46142.999305555553</v>
      </c>
      <c r="E50" s="5">
        <v>0</v>
      </c>
      <c r="G50" s="5">
        <v>47010</v>
      </c>
      <c r="H50" s="5" t="b">
        <v>1</v>
      </c>
      <c r="I50" s="5" t="str">
        <f t="shared" si="0"/>
        <v>Entry</v>
      </c>
      <c r="J50" s="5" t="str">
        <f t="shared" si="1"/>
        <v>Low</v>
      </c>
      <c r="K50" s="5" t="s">
        <v>156</v>
      </c>
    </row>
    <row r="51" spans="1:11" x14ac:dyDescent="0.25">
      <c r="A51" s="5" t="s">
        <v>115</v>
      </c>
      <c r="B51" s="5" t="s">
        <v>116</v>
      </c>
      <c r="C51" s="5" t="s">
        <v>117</v>
      </c>
      <c r="D51" s="6">
        <v>46146.999305555553</v>
      </c>
      <c r="E51" s="5">
        <v>6</v>
      </c>
      <c r="G51" s="5">
        <v>26590</v>
      </c>
      <c r="H51" s="5" t="b">
        <v>1</v>
      </c>
      <c r="I51" s="5" t="str">
        <f t="shared" si="0"/>
        <v>Senior</v>
      </c>
      <c r="J51" s="5" t="str">
        <f t="shared" si="1"/>
        <v>Low</v>
      </c>
      <c r="K51" s="5" t="s">
        <v>156</v>
      </c>
    </row>
    <row r="52" spans="1:11" x14ac:dyDescent="0.25">
      <c r="A52" s="5" t="s">
        <v>118</v>
      </c>
      <c r="B52" s="5" t="s">
        <v>75</v>
      </c>
      <c r="C52" s="5" t="s">
        <v>68</v>
      </c>
      <c r="D52" s="6">
        <v>46146.999305555553</v>
      </c>
      <c r="E52" s="5">
        <v>0</v>
      </c>
      <c r="G52" s="5">
        <v>11500</v>
      </c>
      <c r="H52" s="5" t="b">
        <v>1</v>
      </c>
      <c r="I52" s="5" t="str">
        <f t="shared" si="0"/>
        <v>Entry</v>
      </c>
      <c r="J52" s="5" t="str">
        <f t="shared" si="1"/>
        <v>Low</v>
      </c>
      <c r="K52" s="5" t="s">
        <v>156</v>
      </c>
    </row>
    <row r="53" spans="1:11" x14ac:dyDescent="0.25">
      <c r="A53" s="5" t="s">
        <v>119</v>
      </c>
      <c r="B53" s="5" t="s">
        <v>120</v>
      </c>
      <c r="C53" s="5" t="s">
        <v>121</v>
      </c>
      <c r="D53" s="6">
        <v>46146.708333333336</v>
      </c>
      <c r="E53" s="5">
        <v>2</v>
      </c>
      <c r="G53" s="5">
        <v>35200</v>
      </c>
      <c r="H53" s="5" t="b">
        <v>1</v>
      </c>
      <c r="I53" s="5" t="str">
        <f t="shared" si="0"/>
        <v>Entry</v>
      </c>
      <c r="J53" s="5" t="str">
        <f t="shared" si="1"/>
        <v>Low</v>
      </c>
      <c r="K53" s="5" t="s">
        <v>156</v>
      </c>
    </row>
    <row r="54" spans="1:11" x14ac:dyDescent="0.25">
      <c r="A54" s="5" t="s">
        <v>122</v>
      </c>
      <c r="B54" s="5" t="s">
        <v>123</v>
      </c>
      <c r="C54" s="5" t="s">
        <v>124</v>
      </c>
      <c r="D54" s="6">
        <v>46141.999305555553</v>
      </c>
      <c r="E54" s="5">
        <v>3</v>
      </c>
      <c r="G54" s="5">
        <v>42640</v>
      </c>
      <c r="H54" s="5" t="b">
        <v>1</v>
      </c>
      <c r="I54" s="5" t="str">
        <f t="shared" si="0"/>
        <v>Mid</v>
      </c>
      <c r="J54" s="5" t="str">
        <f t="shared" si="1"/>
        <v>Low</v>
      </c>
      <c r="K54" s="5" t="s">
        <v>156</v>
      </c>
    </row>
    <row r="55" spans="1:11" x14ac:dyDescent="0.25">
      <c r="A55" s="5" t="s">
        <v>125</v>
      </c>
      <c r="B55" s="5" t="s">
        <v>123</v>
      </c>
      <c r="C55" s="5" t="s">
        <v>126</v>
      </c>
      <c r="D55" s="6">
        <v>46141.999305555553</v>
      </c>
      <c r="E55" s="5">
        <v>2</v>
      </c>
      <c r="G55" s="5">
        <v>49230</v>
      </c>
      <c r="H55" s="5" t="b">
        <v>1</v>
      </c>
      <c r="I55" s="5" t="str">
        <f t="shared" si="0"/>
        <v>Entry</v>
      </c>
      <c r="J55" s="5" t="str">
        <f t="shared" si="1"/>
        <v>Low</v>
      </c>
      <c r="K55" s="5" t="s">
        <v>156</v>
      </c>
    </row>
    <row r="56" spans="1:11" x14ac:dyDescent="0.25">
      <c r="A56" s="5" t="s">
        <v>127</v>
      </c>
      <c r="B56" s="5" t="s">
        <v>97</v>
      </c>
      <c r="C56" s="5" t="s">
        <v>128</v>
      </c>
      <c r="D56" s="6">
        <v>46142.999305555553</v>
      </c>
      <c r="E56" s="5">
        <v>10</v>
      </c>
      <c r="G56" s="5">
        <v>68720</v>
      </c>
      <c r="H56" s="5" t="b">
        <v>1</v>
      </c>
      <c r="I56" s="5" t="str">
        <f t="shared" si="0"/>
        <v>Senior</v>
      </c>
      <c r="J56" s="5" t="str">
        <f t="shared" si="1"/>
        <v>High</v>
      </c>
      <c r="K56" s="5" t="s">
        <v>156</v>
      </c>
    </row>
    <row r="57" spans="1:11" x14ac:dyDescent="0.25">
      <c r="A57" s="5" t="s">
        <v>129</v>
      </c>
      <c r="B57" s="5" t="s">
        <v>67</v>
      </c>
      <c r="C57" s="5" t="s">
        <v>130</v>
      </c>
      <c r="D57" s="6">
        <v>46142.999305555553</v>
      </c>
      <c r="E57" s="5">
        <v>0</v>
      </c>
      <c r="G57" s="5">
        <v>27090</v>
      </c>
      <c r="H57" s="5" t="b">
        <v>1</v>
      </c>
      <c r="I57" s="5" t="str">
        <f t="shared" si="0"/>
        <v>Entry</v>
      </c>
      <c r="J57" s="5" t="str">
        <f t="shared" si="1"/>
        <v>Low</v>
      </c>
      <c r="K57" s="5" t="s">
        <v>156</v>
      </c>
    </row>
    <row r="58" spans="1:11" x14ac:dyDescent="0.25">
      <c r="A58" s="5" t="s">
        <v>131</v>
      </c>
      <c r="B58" s="5" t="s">
        <v>132</v>
      </c>
      <c r="C58" s="5" t="s">
        <v>133</v>
      </c>
      <c r="D58" s="6">
        <v>46146.999305555553</v>
      </c>
      <c r="E58" s="5">
        <v>0</v>
      </c>
      <c r="G58" s="5">
        <v>61865</v>
      </c>
      <c r="H58" s="5" t="b">
        <v>1</v>
      </c>
      <c r="I58" s="5" t="str">
        <f t="shared" si="0"/>
        <v>Entry</v>
      </c>
      <c r="J58" s="5" t="str">
        <f t="shared" si="1"/>
        <v>High</v>
      </c>
      <c r="K58" s="5" t="s">
        <v>156</v>
      </c>
    </row>
    <row r="59" spans="1:11" x14ac:dyDescent="0.25">
      <c r="A59" s="5" t="s">
        <v>134</v>
      </c>
      <c r="B59" s="5" t="s">
        <v>9</v>
      </c>
      <c r="C59" s="5" t="s">
        <v>135</v>
      </c>
      <c r="D59" s="6">
        <v>46142.999305555553</v>
      </c>
      <c r="E59" s="5">
        <v>0</v>
      </c>
      <c r="G59" s="5">
        <v>38715</v>
      </c>
      <c r="H59" s="5" t="b">
        <v>1</v>
      </c>
      <c r="I59" s="5" t="str">
        <f t="shared" si="0"/>
        <v>Entry</v>
      </c>
      <c r="J59" s="5" t="str">
        <f t="shared" si="1"/>
        <v>Low</v>
      </c>
      <c r="K59" s="5" t="s">
        <v>156</v>
      </c>
    </row>
    <row r="60" spans="1:11" x14ac:dyDescent="0.25">
      <c r="A60" s="5" t="s">
        <v>136</v>
      </c>
      <c r="B60" s="5" t="s">
        <v>64</v>
      </c>
      <c r="C60" s="5" t="s">
        <v>65</v>
      </c>
      <c r="D60" s="6">
        <v>46142.999305555553</v>
      </c>
      <c r="E60" s="5">
        <v>0</v>
      </c>
      <c r="G60" s="5">
        <v>18200</v>
      </c>
      <c r="H60" s="5" t="b">
        <v>1</v>
      </c>
      <c r="I60" s="5" t="str">
        <f t="shared" si="0"/>
        <v>Entry</v>
      </c>
      <c r="J60" s="5" t="str">
        <f t="shared" si="1"/>
        <v>Low</v>
      </c>
      <c r="K60" s="5" t="s">
        <v>156</v>
      </c>
    </row>
    <row r="61" spans="1:11" x14ac:dyDescent="0.25">
      <c r="A61" s="5" t="s">
        <v>137</v>
      </c>
      <c r="B61" s="5" t="s">
        <v>138</v>
      </c>
      <c r="C61" s="5" t="s">
        <v>139</v>
      </c>
      <c r="D61" s="6">
        <v>46142.999305555553</v>
      </c>
      <c r="E61" s="5">
        <v>0</v>
      </c>
      <c r="G61" s="5">
        <v>11500</v>
      </c>
      <c r="H61" s="5" t="b">
        <v>1</v>
      </c>
      <c r="I61" s="5" t="str">
        <f t="shared" si="0"/>
        <v>Entry</v>
      </c>
      <c r="J61" s="5" t="str">
        <f t="shared" si="1"/>
        <v>Low</v>
      </c>
      <c r="K61" s="5" t="s">
        <v>156</v>
      </c>
    </row>
    <row r="62" spans="1:11" x14ac:dyDescent="0.25">
      <c r="A62" s="5" t="s">
        <v>140</v>
      </c>
      <c r="B62" s="5" t="s">
        <v>138</v>
      </c>
      <c r="C62" s="5" t="s">
        <v>139</v>
      </c>
      <c r="D62" s="6">
        <v>46142.999305555553</v>
      </c>
      <c r="E62" s="5">
        <v>0</v>
      </c>
      <c r="G62" s="5">
        <v>11500</v>
      </c>
      <c r="H62" s="5" t="b">
        <v>1</v>
      </c>
      <c r="I62" s="5" t="str">
        <f t="shared" si="0"/>
        <v>Entry</v>
      </c>
      <c r="J62" s="5" t="str">
        <f t="shared" si="1"/>
        <v>Low</v>
      </c>
      <c r="K62" s="5" t="s">
        <v>156</v>
      </c>
    </row>
    <row r="63" spans="1:11" x14ac:dyDescent="0.25">
      <c r="K63" s="5" t="s">
        <v>156</v>
      </c>
    </row>
    <row r="64" spans="1:11" x14ac:dyDescent="0.25">
      <c r="K64" s="5" t="s">
        <v>156</v>
      </c>
    </row>
  </sheetData>
  <autoFilter ref="A1:J62" xr:uid="{936D63F6-F9E4-4879-BC4F-A65494EAF0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C1C2-5BB4-4680-B40E-802135D30617}">
  <dimension ref="A3:B14"/>
  <sheetViews>
    <sheetView workbookViewId="0">
      <selection activeCell="D29" sqref="D29"/>
    </sheetView>
  </sheetViews>
  <sheetFormatPr defaultRowHeight="15" x14ac:dyDescent="0.25"/>
  <cols>
    <col min="1" max="1" width="30.85546875" style="1" bestFit="1" customWidth="1"/>
    <col min="2" max="2" width="16.28515625" style="1" bestFit="1" customWidth="1"/>
    <col min="3" max="16384" width="9.140625" style="1"/>
  </cols>
  <sheetData>
    <row r="3" spans="1:2" x14ac:dyDescent="0.25">
      <c r="A3" s="1" t="s">
        <v>141</v>
      </c>
      <c r="B3" s="1" t="s">
        <v>143</v>
      </c>
    </row>
    <row r="4" spans="1:2" x14ac:dyDescent="0.25">
      <c r="A4" s="2" t="s">
        <v>70</v>
      </c>
      <c r="B4" s="3">
        <v>119650</v>
      </c>
    </row>
    <row r="5" spans="1:2" x14ac:dyDescent="0.25">
      <c r="A5" s="2" t="s">
        <v>9</v>
      </c>
      <c r="B5" s="3">
        <v>105034</v>
      </c>
    </row>
    <row r="6" spans="1:2" x14ac:dyDescent="0.25">
      <c r="A6" s="2" t="s">
        <v>51</v>
      </c>
      <c r="B6" s="3">
        <v>99500</v>
      </c>
    </row>
    <row r="7" spans="1:2" x14ac:dyDescent="0.25">
      <c r="A7" s="2" t="s">
        <v>89</v>
      </c>
      <c r="B7" s="3">
        <v>97575</v>
      </c>
    </row>
    <row r="8" spans="1:2" x14ac:dyDescent="0.25">
      <c r="A8" s="2" t="s">
        <v>111</v>
      </c>
      <c r="B8" s="3">
        <v>81510</v>
      </c>
    </row>
    <row r="9" spans="1:2" x14ac:dyDescent="0.25">
      <c r="A9" s="2" t="s">
        <v>30</v>
      </c>
      <c r="B9" s="3">
        <v>70945</v>
      </c>
    </row>
    <row r="10" spans="1:2" x14ac:dyDescent="0.25">
      <c r="A10" s="2" t="s">
        <v>105</v>
      </c>
      <c r="B10" s="3">
        <v>67850</v>
      </c>
    </row>
    <row r="11" spans="1:2" x14ac:dyDescent="0.25">
      <c r="A11" s="2" t="s">
        <v>132</v>
      </c>
      <c r="B11" s="3">
        <v>61865</v>
      </c>
    </row>
    <row r="12" spans="1:2" x14ac:dyDescent="0.25">
      <c r="A12" s="2" t="s">
        <v>97</v>
      </c>
      <c r="B12" s="3">
        <v>49357.5</v>
      </c>
    </row>
    <row r="13" spans="1:2" x14ac:dyDescent="0.25">
      <c r="A13" s="2" t="s">
        <v>16</v>
      </c>
      <c r="B13" s="3">
        <v>49270</v>
      </c>
    </row>
    <row r="14" spans="1:2" x14ac:dyDescent="0.25">
      <c r="A14" s="2" t="s">
        <v>142</v>
      </c>
      <c r="B14" s="3">
        <v>82976.515151515152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8CE1-072C-48FB-BB19-B49DA9D54364}">
  <dimension ref="A1"/>
  <sheetViews>
    <sheetView workbookViewId="0">
      <selection activeCell="I30" sqref="I30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2486-4BD7-4133-90F7-7DB097C2372E}">
  <dimension ref="A3:B12"/>
  <sheetViews>
    <sheetView workbookViewId="0">
      <selection activeCell="D34" sqref="D34"/>
    </sheetView>
  </sheetViews>
  <sheetFormatPr defaultRowHeight="15" x14ac:dyDescent="0.25"/>
  <cols>
    <col min="1" max="1" width="13.42578125" style="1" bestFit="1" customWidth="1"/>
    <col min="2" max="2" width="16.28515625" style="1" bestFit="1" customWidth="1"/>
    <col min="3" max="16384" width="9.140625" style="1"/>
  </cols>
  <sheetData>
    <row r="3" spans="1:2" x14ac:dyDescent="0.25">
      <c r="A3" s="1" t="s">
        <v>141</v>
      </c>
      <c r="B3" s="1" t="s">
        <v>143</v>
      </c>
    </row>
    <row r="4" spans="1:2" x14ac:dyDescent="0.25">
      <c r="A4" s="2">
        <v>0</v>
      </c>
      <c r="B4" s="1">
        <v>53985.128205128203</v>
      </c>
    </row>
    <row r="5" spans="1:2" x14ac:dyDescent="0.25">
      <c r="A5" s="2">
        <v>1</v>
      </c>
      <c r="B5" s="1">
        <v>82032.5</v>
      </c>
    </row>
    <row r="6" spans="1:2" x14ac:dyDescent="0.25">
      <c r="A6" s="2">
        <v>2</v>
      </c>
      <c r="B6" s="1">
        <v>52557.5</v>
      </c>
    </row>
    <row r="7" spans="1:2" x14ac:dyDescent="0.25">
      <c r="A7" s="2">
        <v>3</v>
      </c>
      <c r="B7" s="1">
        <v>63115</v>
      </c>
    </row>
    <row r="8" spans="1:2" x14ac:dyDescent="0.25">
      <c r="A8" s="2">
        <v>4</v>
      </c>
      <c r="B8" s="1">
        <v>81510</v>
      </c>
    </row>
    <row r="9" spans="1:2" x14ac:dyDescent="0.25">
      <c r="A9" s="2">
        <v>5</v>
      </c>
      <c r="B9" s="1">
        <v>48922.5</v>
      </c>
    </row>
    <row r="10" spans="1:2" x14ac:dyDescent="0.25">
      <c r="A10" s="2">
        <v>6</v>
      </c>
      <c r="B10" s="1">
        <v>61732</v>
      </c>
    </row>
    <row r="11" spans="1:2" x14ac:dyDescent="0.25">
      <c r="A11" s="2">
        <v>10</v>
      </c>
      <c r="B11" s="1">
        <v>68720</v>
      </c>
    </row>
    <row r="12" spans="1:2" x14ac:dyDescent="0.25">
      <c r="A12" s="2" t="s">
        <v>142</v>
      </c>
      <c r="B12" s="1">
        <v>57020.573770491806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F46A-271D-49CA-B6E9-E63408509767}">
  <dimension ref="A3:B7"/>
  <sheetViews>
    <sheetView workbookViewId="0">
      <selection activeCell="A40" sqref="A40"/>
    </sheetView>
  </sheetViews>
  <sheetFormatPr defaultRowHeight="15" x14ac:dyDescent="0.25"/>
  <cols>
    <col min="1" max="1" width="13.42578125" style="1" bestFit="1" customWidth="1"/>
    <col min="2" max="2" width="16.28515625" style="1" bestFit="1" customWidth="1"/>
    <col min="3" max="16384" width="9.140625" style="1"/>
  </cols>
  <sheetData>
    <row r="3" spans="1:2" x14ac:dyDescent="0.25">
      <c r="A3" s="1" t="s">
        <v>141</v>
      </c>
      <c r="B3" s="1" t="s">
        <v>143</v>
      </c>
    </row>
    <row r="4" spans="1:2" x14ac:dyDescent="0.25">
      <c r="A4" s="2" t="s">
        <v>145</v>
      </c>
      <c r="B4" s="3">
        <v>55104.777777777781</v>
      </c>
    </row>
    <row r="5" spans="1:2" x14ac:dyDescent="0.25">
      <c r="A5" s="2" t="s">
        <v>146</v>
      </c>
      <c r="B5" s="3">
        <v>62116</v>
      </c>
    </row>
    <row r="6" spans="1:2" x14ac:dyDescent="0.25">
      <c r="A6" s="2" t="s">
        <v>147</v>
      </c>
      <c r="B6" s="3">
        <v>62896.666666666664</v>
      </c>
    </row>
    <row r="7" spans="1:2" x14ac:dyDescent="0.25">
      <c r="A7" s="2" t="s">
        <v>142</v>
      </c>
      <c r="B7" s="3">
        <v>57020.573770491806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E23B-C034-41CA-857E-ACE1C1D31165}">
  <dimension ref="A3:D8"/>
  <sheetViews>
    <sheetView workbookViewId="0">
      <selection activeCell="Z26" sqref="Z26"/>
    </sheetView>
  </sheetViews>
  <sheetFormatPr defaultRowHeight="15" x14ac:dyDescent="0.25"/>
  <cols>
    <col min="1" max="1" width="17.42578125" style="1" bestFit="1" customWidth="1"/>
    <col min="2" max="2" width="16.85546875" style="1" bestFit="1" customWidth="1"/>
    <col min="3" max="3" width="7.140625" style="1" bestFit="1" customWidth="1"/>
    <col min="4" max="4" width="11.28515625" style="1" bestFit="1" customWidth="1"/>
    <col min="5" max="16384" width="9.140625" style="1"/>
  </cols>
  <sheetData>
    <row r="3" spans="1:4" x14ac:dyDescent="0.25">
      <c r="A3" s="1" t="s">
        <v>152</v>
      </c>
      <c r="B3" s="1" t="s">
        <v>149</v>
      </c>
    </row>
    <row r="4" spans="1:4" x14ac:dyDescent="0.25">
      <c r="A4" s="1" t="s">
        <v>141</v>
      </c>
      <c r="B4" s="1" t="s">
        <v>150</v>
      </c>
      <c r="C4" s="1" t="s">
        <v>151</v>
      </c>
      <c r="D4" s="1" t="s">
        <v>142</v>
      </c>
    </row>
    <row r="5" spans="1:4" x14ac:dyDescent="0.25">
      <c r="A5" s="2" t="s">
        <v>145</v>
      </c>
      <c r="B5" s="4">
        <v>0.31111111111111112</v>
      </c>
      <c r="C5" s="4">
        <v>0.68888888888888888</v>
      </c>
      <c r="D5" s="4">
        <v>1</v>
      </c>
    </row>
    <row r="6" spans="1:4" x14ac:dyDescent="0.25">
      <c r="A6" s="2" t="s">
        <v>146</v>
      </c>
      <c r="B6" s="4">
        <v>0.5</v>
      </c>
      <c r="C6" s="4">
        <v>0.5</v>
      </c>
      <c r="D6" s="4">
        <v>1</v>
      </c>
    </row>
    <row r="7" spans="1:4" x14ac:dyDescent="0.25">
      <c r="A7" s="2" t="s">
        <v>147</v>
      </c>
      <c r="B7" s="4">
        <v>0.66666666666666663</v>
      </c>
      <c r="C7" s="4">
        <v>0.33333333333333331</v>
      </c>
      <c r="D7" s="4">
        <v>1</v>
      </c>
    </row>
    <row r="8" spans="1:4" x14ac:dyDescent="0.25">
      <c r="A8" s="2" t="s">
        <v>142</v>
      </c>
      <c r="B8" s="4">
        <v>0.37704918032786883</v>
      </c>
      <c r="C8" s="4">
        <v>0.62295081967213117</v>
      </c>
      <c r="D8" s="4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9452-F2D1-4A53-A7CB-2101AE65EB38}">
  <dimension ref="B2:C23"/>
  <sheetViews>
    <sheetView tabSelected="1" workbookViewId="0">
      <selection activeCell="S21" sqref="S21"/>
    </sheetView>
  </sheetViews>
  <sheetFormatPr defaultRowHeight="15" x14ac:dyDescent="0.25"/>
  <cols>
    <col min="1" max="1" width="9.140625" style="1"/>
    <col min="2" max="2" width="26.7109375" style="1" customWidth="1"/>
    <col min="3" max="3" width="17.42578125" style="7" customWidth="1"/>
    <col min="4" max="16384" width="9.140625" style="1"/>
  </cols>
  <sheetData>
    <row r="2" spans="2:3" ht="15.75" thickBot="1" x14ac:dyDescent="0.3">
      <c r="B2" s="8" t="s">
        <v>157</v>
      </c>
      <c r="C2" s="9" t="s">
        <v>158</v>
      </c>
    </row>
    <row r="3" spans="2:3" x14ac:dyDescent="0.25">
      <c r="B3" s="1" t="s">
        <v>156</v>
      </c>
      <c r="C3" s="7">
        <v>51324.88</v>
      </c>
    </row>
    <row r="4" spans="2:3" x14ac:dyDescent="0.25">
      <c r="B4" s="1" t="s">
        <v>155</v>
      </c>
      <c r="C4" s="7">
        <v>71616.31</v>
      </c>
    </row>
    <row r="21" spans="2:3" ht="15.75" thickBot="1" x14ac:dyDescent="0.3">
      <c r="B21" s="8" t="s">
        <v>157</v>
      </c>
      <c r="C21" s="9" t="s">
        <v>159</v>
      </c>
    </row>
    <row r="22" spans="2:3" x14ac:dyDescent="0.25">
      <c r="B22" s="1" t="s">
        <v>156</v>
      </c>
      <c r="C22" s="10">
        <v>0.7</v>
      </c>
    </row>
    <row r="23" spans="2:3" x14ac:dyDescent="0.25">
      <c r="B23" s="1" t="s">
        <v>155</v>
      </c>
      <c r="C23" s="10">
        <v>0.3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jobs_clenaed</vt:lpstr>
      <vt:lpstr>1</vt:lpstr>
      <vt:lpstr>2</vt:lpstr>
      <vt:lpstr>3_v1</vt:lpstr>
      <vt:lpstr>3_v2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Choy, Freda</dc:creator>
  <cp:lastModifiedBy>Choy, Freda</cp:lastModifiedBy>
  <dcterms:created xsi:type="dcterms:W3CDTF">2026-04-23T03:48:34Z</dcterms:created>
  <dcterms:modified xsi:type="dcterms:W3CDTF">2026-04-24T07:15:47Z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2026-04-23T03:55:09Z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6997f3ae-eeea-4872-955c-2f54420c8e39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